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6503\work_home\tigerault\Wheat-BRIDGES_framework\Root-CyNAPS\simulations\scene\inputs\"/>
    </mc:Choice>
  </mc:AlternateContent>
  <xr:revisionPtr revIDLastSave="0" documentId="13_ncr:1_{EA420318-0B39-4F0F-BE53-EF536C50FF43}" xr6:coauthVersionLast="47" xr6:coauthVersionMax="47" xr10:uidLastSave="{00000000-0000-0000-0000-000000000000}"/>
  <bookViews>
    <workbookView xWindow="-25320" yWindow="105" windowWidth="25440" windowHeight="1599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2" l="1"/>
  <c r="J27" i="2"/>
  <c r="K27" i="2"/>
  <c r="L27" i="2"/>
  <c r="M27" i="2"/>
  <c r="N27" i="2"/>
  <c r="O27" i="2"/>
  <c r="P27" i="2"/>
  <c r="Q27" i="2"/>
  <c r="R27" i="2"/>
  <c r="S27" i="2"/>
  <c r="T27" i="2"/>
  <c r="I28" i="2"/>
  <c r="J28" i="2"/>
  <c r="K28" i="2"/>
  <c r="L28" i="2"/>
  <c r="M28" i="2"/>
  <c r="N28" i="2"/>
  <c r="O28" i="2"/>
  <c r="P28" i="2"/>
  <c r="Q28" i="2"/>
  <c r="R28" i="2"/>
  <c r="S28" i="2"/>
  <c r="T28" i="2"/>
  <c r="H28" i="2"/>
  <c r="H27" i="2"/>
  <c r="I22" i="2"/>
  <c r="J22" i="2"/>
  <c r="K22" i="2"/>
  <c r="L22" i="2"/>
  <c r="M22" i="2"/>
  <c r="N22" i="2"/>
  <c r="O22" i="2"/>
  <c r="P22" i="2"/>
  <c r="Q22" i="2"/>
  <c r="R22" i="2"/>
  <c r="S22" i="2"/>
  <c r="T22" i="2"/>
  <c r="H22" i="2"/>
  <c r="I21" i="2"/>
  <c r="J21" i="2"/>
  <c r="K21" i="2"/>
  <c r="L21" i="2"/>
  <c r="M21" i="2"/>
  <c r="N21" i="2"/>
  <c r="O21" i="2"/>
  <c r="P21" i="2"/>
  <c r="Q21" i="2"/>
  <c r="R21" i="2"/>
  <c r="S21" i="2"/>
  <c r="T21" i="2"/>
  <c r="H21" i="2"/>
  <c r="I20" i="2"/>
  <c r="J20" i="2"/>
  <c r="K20" i="2"/>
  <c r="L20" i="2"/>
  <c r="M20" i="2"/>
  <c r="N20" i="2"/>
  <c r="O20" i="2"/>
  <c r="P20" i="2"/>
  <c r="Q20" i="2"/>
  <c r="R20" i="2"/>
  <c r="S20" i="2"/>
  <c r="T20" i="2"/>
  <c r="H20" i="2"/>
  <c r="I18" i="2"/>
  <c r="J18" i="2"/>
  <c r="K18" i="2"/>
  <c r="L18" i="2"/>
  <c r="M18" i="2"/>
  <c r="N18" i="2"/>
  <c r="O18" i="2"/>
  <c r="P18" i="2"/>
  <c r="Q18" i="2"/>
  <c r="R18" i="2"/>
  <c r="S18" i="2"/>
  <c r="T18" i="2"/>
  <c r="H18" i="2"/>
  <c r="J17" i="2"/>
  <c r="K17" i="2"/>
  <c r="L17" i="2"/>
  <c r="M17" i="2"/>
  <c r="N17" i="2"/>
  <c r="O17" i="2"/>
  <c r="P17" i="2"/>
  <c r="Q17" i="2"/>
  <c r="R17" i="2"/>
  <c r="S17" i="2"/>
  <c r="T17" i="2"/>
  <c r="I17" i="2"/>
  <c r="J16" i="2"/>
  <c r="K16" i="2"/>
  <c r="L16" i="2"/>
  <c r="M16" i="2"/>
  <c r="N16" i="2"/>
  <c r="O16" i="2"/>
  <c r="P16" i="2"/>
  <c r="Q16" i="2"/>
  <c r="R16" i="2"/>
  <c r="S16" i="2"/>
  <c r="T16" i="2"/>
  <c r="I16" i="2"/>
  <c r="H16" i="2"/>
  <c r="T14" i="2"/>
  <c r="T15" i="2" s="1"/>
  <c r="S14" i="2"/>
  <c r="S15" i="2" s="1"/>
  <c r="R14" i="2"/>
  <c r="R15" i="2" s="1"/>
  <c r="Q14" i="2"/>
  <c r="Q15" i="2" s="1"/>
  <c r="P14" i="2"/>
  <c r="P15" i="2" s="1"/>
  <c r="O14" i="2"/>
  <c r="O15" i="2" s="1"/>
  <c r="N14" i="2"/>
  <c r="N15" i="2" s="1"/>
  <c r="M14" i="2"/>
  <c r="M15" i="2" s="1"/>
  <c r="L14" i="2"/>
  <c r="L15" i="2" s="1"/>
  <c r="K14" i="2"/>
  <c r="K15" i="2" s="1"/>
  <c r="J14" i="2"/>
  <c r="J15" i="2" s="1"/>
  <c r="I14" i="2"/>
  <c r="I15" i="2" s="1"/>
  <c r="H14" i="2"/>
  <c r="H15" i="2" s="1"/>
  <c r="T25" i="2"/>
  <c r="T13" i="2"/>
  <c r="S25" i="2"/>
  <c r="S13" i="2"/>
  <c r="Q25" i="2"/>
  <c r="Q13" i="2"/>
  <c r="P25" i="2"/>
  <c r="P13" i="2"/>
  <c r="O25" i="2"/>
  <c r="O13" i="2"/>
  <c r="N25" i="2"/>
  <c r="N13" i="2"/>
  <c r="M25" i="2"/>
  <c r="M13" i="2"/>
  <c r="L25" i="2"/>
  <c r="L13" i="2"/>
  <c r="K25" i="2"/>
  <c r="K13" i="2"/>
  <c r="J25" i="2"/>
  <c r="J13" i="2"/>
  <c r="I25" i="2"/>
  <c r="I13" i="2"/>
  <c r="H25" i="2"/>
  <c r="H13" i="2"/>
  <c r="T3" i="2" l="1"/>
  <c r="S3" i="2"/>
  <c r="R3" i="2"/>
  <c r="Q3" i="2"/>
  <c r="P3" i="2"/>
  <c r="O3" i="2"/>
  <c r="N3" i="2"/>
  <c r="M3" i="2"/>
  <c r="L3" i="2"/>
  <c r="K3" i="2"/>
  <c r="J3" i="2"/>
  <c r="I3" i="2"/>
  <c r="T8" i="2"/>
  <c r="T6" i="2"/>
  <c r="S8" i="2"/>
  <c r="S6" i="2"/>
  <c r="R25" i="2"/>
  <c r="R13" i="2"/>
  <c r="R8" i="2"/>
  <c r="R6" i="2"/>
  <c r="Q8" i="2"/>
  <c r="Q6" i="2"/>
  <c r="P8" i="2"/>
  <c r="P6" i="2"/>
  <c r="O8" i="2"/>
  <c r="O6" i="2"/>
  <c r="N8" i="2"/>
  <c r="N6" i="2"/>
  <c r="M8" i="2"/>
  <c r="M6" i="2"/>
  <c r="L8" i="2"/>
  <c r="L6" i="2"/>
  <c r="K8" i="2"/>
  <c r="K6" i="2"/>
  <c r="J8" i="2"/>
  <c r="J6" i="2"/>
  <c r="I8" i="2"/>
  <c r="I6" i="2"/>
  <c r="G21" i="2" l="1"/>
  <c r="H6" i="2" l="1"/>
  <c r="H8" i="2" l="1"/>
  <c r="G20" i="2"/>
  <c r="G25" i="2"/>
  <c r="G29" i="2"/>
  <c r="G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<sst xmlns="http://schemas.openxmlformats.org/spreadsheetml/2006/main" count="592" uniqueCount="285">
  <si>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</si>
  <si>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</si>
  <si>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</si>
  <si>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</si>
  <si>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</si>
  <si>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</si>
  <si>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</si>
  <si>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</si>
  <si>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</si>
  <si>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</si>
  <si>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</si>
  <si>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</si>
  <si>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</si>
  <si>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</si>
  <si>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</si>
  <si>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</si>
  <si>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</si>
  <si>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</si>
  <si>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</si>
  <si>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</si>
  <si>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</si>
  <si>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</si>
  <si>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</si>
  <si>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</si>
  <si>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</si>
  <si>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</si>
  <si>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</si>
  <si>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</si>
  <si>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</si>
  <si>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</si>
  <si>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</si>
  <si>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</si>
  <si>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</si>
  <si>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</si>
  <si>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</si>
  <si>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</si>
  <si>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</si>
  <si>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</si>
  <si>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</si>
  <si>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</si>
  <si>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</si>
  <si>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</si>
  <si>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</si>
  <si>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</si>
  <si>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</si>
  <si>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</si>
  <si>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</si>
  <si>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</si>
  <si>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</si>
  <si>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</si>
  <si>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</si>
  <si>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</si>
  <si>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</si>
  <si>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</si>
  <si>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</si>
  <si>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</si>
  <si>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</si>
  <si>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</si>
  <si>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</si>
  <si>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</si>
  <si>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</si>
  <si>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</si>
  <si>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</si>
  <si>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</si>
  <si>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</si>
  <si>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</si>
  <si>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</si>
  <si>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</si>
  <si>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</si>
  <si>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</si>
  <si>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</si>
  <si>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</si>
  <si>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</si>
  <si>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</si>
  <si>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</si>
  <si>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</si>
  <si>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</si>
  <si>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</si>
  <si>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</si>
  <si>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</si>
  <si>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</si>
  <si>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</si>
  <si>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</si>
  <si>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</si>
  <si>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</si>
  <si>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</si>
  <si>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</si>
  <si>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</si>
  <si>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</si>
  <si>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</si>
  <si>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</si>
  <si>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</si>
  <si>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</si>
  <si>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</si>
  <si>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</si>
  <si>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</si>
  <si>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</si>
  <si>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</si>
  <si>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</si>
  <si>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</si>
  <si>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</si>
  <si>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</si>
  <si>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</si>
  <si>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</si>
  <si>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</si>
  <si>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</si>
  <si>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</si>
  <si>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</si>
  <si>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</si>
  <si>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</si>
  <si>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</si>
  <si>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</si>
  <si>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</si>
  <si>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</si>
  <si>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</si>
  <si>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</si>
  <si>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</si>
  <si>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</si>
  <si>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</si>
  <si>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</si>
  <si>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</si>
  <si>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</si>
  <si>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</si>
  <si>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</si>
  <si>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</si>
  <si>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</si>
  <si>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</si>
  <si>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</si>
  <si>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</si>
  <si>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</si>
  <si>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</si>
  <si>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</si>
  <si>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</si>
  <si>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</si>
  <si>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</si>
  <si>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</si>
  <si>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</si>
  <si>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</si>
  <si>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</si>
  <si>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</si>
  <si>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</si>
  <si>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</si>
  <si>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</si>
  <si>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</si>
  <si>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</si>
  <si>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</si>
  <si>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</si>
  <si>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</si>
  <si>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</si>
  <si>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</si>
  <si>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</si>
  <si>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</si>
  <si>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</si>
  <si>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</si>
  <si>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</si>
  <si>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</si>
  <si>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</si>
  <si>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</si>
  <si>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</si>
  <si>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</si>
  <si>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</si>
  <si>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</si>
  <si>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</si>
  <si>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</si>
  <si>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</si>
  <si>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</si>
  <si>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</si>
  <si>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</si>
  <si>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</si>
  <si>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</si>
  <si>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</si>
  <si>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</si>
  <si>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</si>
  <si>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</si>
  <si>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</si>
  <si>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</si>
  <si>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</si>
  <si>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</si>
  <si>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</si>
  <si>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</si>
  <si>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</si>
  <si>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</si>
  <si>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</si>
  <si>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</si>
  <si>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</si>
  <si>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</si>
  <si>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</si>
  <si>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</si>
  <si>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</si>
  <si>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</si>
  <si>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</si>
  <si>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</si>
  <si>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</si>
  <si>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</si>
  <si>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</si>
  <si>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</si>
  <si>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</si>
  <si>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</si>
  <si>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</si>
  <si>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</si>
  <si>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</si>
  <si>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</si>
  <si>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</si>
  <si>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</si>
  <si>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</si>
  <si>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</si>
  <si>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</si>
  <si>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</si>
  <si>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</si>
  <si>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</si>
  <si>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</si>
  <si>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</si>
  <si>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vmax_Nm_xylem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</si>
  <si>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</si>
  <si>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</si>
  <si>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</si>
  <si>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</si>
  <si>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</si>
  <si>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</si>
  <si>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</si>
  <si>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</si>
  <si>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</si>
  <si>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</si>
  <si>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</si>
  <si>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</si>
  <si>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</si>
  <si>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</si>
  <si>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</si>
  <si>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</si>
  <si>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</si>
  <si>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</si>
  <si>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</si>
  <si>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</si>
  <si>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</si>
  <si>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</si>
  <si>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</si>
  <si>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</si>
  <si>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</si>
  <si>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</si>
  <si>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</si>
  <si>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</si>
  <si>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</si>
  <si>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</si>
  <si>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</si>
  <si>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</si>
  <si>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</si>
  <si>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</si>
  <si>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</si>
  <si>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</si>
  <si>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</si>
  <si>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</si>
  <si>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</si>
  <si>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</si>
  <si>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</si>
  <si>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</si>
  <si>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</si>
  <si>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</si>
  <si>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</si>
  <si>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</si>
  <si>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</si>
  <si>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</si>
  <si>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</si>
  <si>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</si>
  <si>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</si>
  <si>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</si>
  <si>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</si>
  <si>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</si>
  <si>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</si>
  <si>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</si>
  <si>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</si>
  <si>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</si>
  <si>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</si>
  <si>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</si>
  <si>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</si>
  <si>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</si>
  <si>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</si>
  <si>
    <t>Cv_AA_phloem_collar</t>
  </si>
  <si>
    <t>Enforced amino acids volumic concentration at the shoot-root junction</t>
  </si>
  <si>
    <t>permeability_phloem_AA</t>
  </si>
  <si>
    <t>diffusion_xylem_Nm_P</t>
  </si>
  <si>
    <t>diffusion_xylem_AA_P</t>
  </si>
  <si>
    <t>Option to enforce the axial diffusivity of solutes in phloem at the shoot-root junction</t>
  </si>
  <si>
    <t>mass_wise_phloem_wiring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</si>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</sst>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2"/>
  <sheetViews>
    <sheetView tabSelected="1" zoomScale="89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239</v>
      </c>
      <c r="I1" s="13" t="s">
        <v>249</v>
      </c>
      <c r="J1" s="13" t="s">
        <v>255</v>
      </c>
      <c r="K1" s="13" t="s">
        <v>256</v>
      </c>
      <c r="L1" s="13" t="s">
        <v>257</v>
      </c>
      <c r="M1" s="13" t="s">
        <v>258</v>
      </c>
      <c r="N1" s="13" t="s">
        <v>259</v>
      </c>
      <c r="O1" s="13" t="s">
        <v>260</v>
      </c>
      <c r="P1" s="13" t="s">
        <v>261</v>
      </c>
      <c r="Q1" s="13" t="s">
        <v>262</v>
      </c>
      <c r="R1" s="13" t="s">
        <v>250</v>
      </c>
      <c r="S1" s="13" t="s">
        <v>263</v>
      </c>
      <c r="T1" s="13" t="s">
        <v>264</v>
      </c>
    </row>
    <row r="2" spans="1:20" s="1" customFormat="1" x14ac:dyDescent="0.25">
      <c r="A2" s="2" t="s">
        <v>204</v>
      </c>
      <c r="B2" s="2" t="s">
        <v>205</v>
      </c>
      <c r="C2" s="2" t="s">
        <v>252</v>
      </c>
      <c r="D2" s="2" t="s">
        <v>209</v>
      </c>
      <c r="E2" s="12" t="s">
        <v>206</v>
      </c>
      <c r="F2" s="12" t="s">
        <v>207</v>
      </c>
      <c r="G2" s="6" t="s">
        <v>208</v>
      </c>
      <c r="H2" s="7" t="s">
        <v>181</v>
      </c>
      <c r="I2" s="7" t="s">
        <v>251</v>
      </c>
      <c r="J2" s="7" t="s">
        <v>265</v>
      </c>
      <c r="K2" s="7" t="s">
        <v>266</v>
      </c>
      <c r="L2" s="7" t="s">
        <v>267</v>
      </c>
      <c r="M2" s="7" t="s">
        <v>268</v>
      </c>
      <c r="N2" s="7" t="s">
        <v>269</v>
      </c>
      <c r="O2" s="7" t="s">
        <v>270</v>
      </c>
      <c r="P2" s="7" t="s">
        <v>271</v>
      </c>
      <c r="Q2" s="7" t="s">
        <v>272</v>
      </c>
      <c r="R2" s="7" t="s">
        <v>273</v>
      </c>
      <c r="S2" s="7" t="s">
        <v>274</v>
      </c>
      <c r="T2" s="7" t="s">
        <v>275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252</v>
      </c>
      <c r="D3" s="2" t="s">
        <v>209</v>
      </c>
      <c r="E3" s="4" t="s">
        <v>182</v>
      </c>
      <c r="F3" s="4" t="s">
        <v>180</v>
      </c>
      <c r="G3" s="9" t="s">
        <v>86</v>
      </c>
      <c r="H3" s="17">
        <v>1.0000000000000001E-9</v>
      </c>
      <c r="I3" s="18">
        <f>6.417000259344E-08/3600</f>
        <v>1.78250007204E-11</v>
      </c>
      <c r="J3" s="18">
        <f>4.504500274824E-08/3600</f>
        <v>1.2512500763399999E-11</v>
      </c>
      <c r="K3" s="18">
        <f>6.26400201772801E-08/3600</f>
        <v>1.7400005604800025E-11</v>
      </c>
      <c r="L3" s="18">
        <f>0.0000001715700135192/3600</f>
        <v>4.7658337088666669E-11</v>
      </c>
      <c r="M3" s="18">
        <f>0.0000005947500532344/3600</f>
        <v>1.6520834812066667E-10</v>
      </c>
      <c r="N3" s="18">
        <f>0.0000014904001011456/3600</f>
        <v>4.1400002809600001E-10</v>
      </c>
      <c r="O3" s="18">
        <f>0.000002756700138744/3600</f>
        <v>7.6575003854E-10</v>
      </c>
      <c r="P3" s="18">
        <f>0.00000411600012288/3600</f>
        <v>1.1433333674666667E-9</v>
      </c>
      <c r="Q3" s="18">
        <f>0.000004950000112896/3600</f>
        <v>1.3750000313600002E-9</v>
      </c>
      <c r="R3" s="18">
        <f>5.14350001490399E-06/3600</f>
        <v>1.4287500041399972E-9</v>
      </c>
      <c r="S3" s="18">
        <f>4.82699998247999E-06/3600</f>
        <v>1.3408333284666637E-9</v>
      </c>
      <c r="T3" s="18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252</v>
      </c>
      <c r="D4" s="2" t="s">
        <v>209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253</v>
      </c>
      <c r="D5" s="3" t="s">
        <v>254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x14ac:dyDescent="0.25">
      <c r="A6" s="2" t="s">
        <v>230</v>
      </c>
      <c r="B6" s="3" t="s">
        <v>177</v>
      </c>
      <c r="C6" s="2" t="s">
        <v>253</v>
      </c>
      <c r="D6" s="3" t="s">
        <v>254</v>
      </c>
      <c r="E6" s="5" t="s">
        <v>231</v>
      </c>
      <c r="F6" s="5" t="s">
        <v>232</v>
      </c>
      <c r="G6" s="2">
        <v>0.5</v>
      </c>
      <c r="H6" s="10">
        <f t="shared" ref="H6:T6" si="0">0.00005 / 100</f>
        <v>4.9999999999999998E-7</v>
      </c>
      <c r="I6" s="10">
        <f t="shared" si="0"/>
        <v>4.9999999999999998E-7</v>
      </c>
      <c r="J6" s="10">
        <f t="shared" si="0"/>
        <v>4.9999999999999998E-7</v>
      </c>
      <c r="K6" s="10">
        <f t="shared" si="0"/>
        <v>4.9999999999999998E-7</v>
      </c>
      <c r="L6" s="10">
        <f t="shared" si="0"/>
        <v>4.9999999999999998E-7</v>
      </c>
      <c r="M6" s="10">
        <f t="shared" si="0"/>
        <v>4.9999999999999998E-7</v>
      </c>
      <c r="N6" s="10">
        <f t="shared" si="0"/>
        <v>4.9999999999999998E-7</v>
      </c>
      <c r="O6" s="10">
        <f t="shared" si="0"/>
        <v>4.9999999999999998E-7</v>
      </c>
      <c r="P6" s="10">
        <f t="shared" si="0"/>
        <v>4.9999999999999998E-7</v>
      </c>
      <c r="Q6" s="10">
        <f t="shared" si="0"/>
        <v>4.9999999999999998E-7</v>
      </c>
      <c r="R6" s="10">
        <f t="shared" si="0"/>
        <v>4.9999999999999998E-7</v>
      </c>
      <c r="S6" s="10">
        <f t="shared" si="0"/>
        <v>4.9999999999999998E-7</v>
      </c>
      <c r="T6" s="10">
        <f t="shared" si="0"/>
        <v>4.9999999999999998E-7</v>
      </c>
    </row>
    <row r="7" spans="1:20" x14ac:dyDescent="0.25">
      <c r="A7" s="2" t="s">
        <v>233</v>
      </c>
      <c r="B7" s="3" t="s">
        <v>177</v>
      </c>
      <c r="C7" s="2" t="s">
        <v>253</v>
      </c>
      <c r="D7" s="3" t="s">
        <v>254</v>
      </c>
      <c r="E7" s="5" t="s">
        <v>234</v>
      </c>
      <c r="F7" s="5" t="s">
        <v>235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x14ac:dyDescent="0.25">
      <c r="A8" s="2" t="s">
        <v>236</v>
      </c>
      <c r="B8" s="3" t="s">
        <v>177</v>
      </c>
      <c r="C8" s="2" t="s">
        <v>253</v>
      </c>
      <c r="D8" s="3" t="s">
        <v>254</v>
      </c>
      <c r="E8" s="12" t="s">
        <v>197</v>
      </c>
      <c r="F8" s="12" t="s">
        <v>192</v>
      </c>
      <c r="G8" s="16">
        <v>0.5</v>
      </c>
      <c r="H8" s="10">
        <f t="shared" ref="H8:T8" si="1">0.00002 / 14</f>
        <v>1.4285714285714286E-6</v>
      </c>
      <c r="I8" s="10">
        <f t="shared" si="1"/>
        <v>1.4285714285714286E-6</v>
      </c>
      <c r="J8" s="10">
        <f t="shared" si="1"/>
        <v>1.4285714285714286E-6</v>
      </c>
      <c r="K8" s="10">
        <f t="shared" si="1"/>
        <v>1.4285714285714286E-6</v>
      </c>
      <c r="L8" s="10">
        <f t="shared" si="1"/>
        <v>1.4285714285714286E-6</v>
      </c>
      <c r="M8" s="10">
        <f t="shared" si="1"/>
        <v>1.4285714285714286E-6</v>
      </c>
      <c r="N8" s="10">
        <f t="shared" si="1"/>
        <v>1.4285714285714286E-6</v>
      </c>
      <c r="O8" s="10">
        <f t="shared" si="1"/>
        <v>1.4285714285714286E-6</v>
      </c>
      <c r="P8" s="10">
        <f t="shared" si="1"/>
        <v>1.4285714285714286E-6</v>
      </c>
      <c r="Q8" s="10">
        <f t="shared" si="1"/>
        <v>1.4285714285714286E-6</v>
      </c>
      <c r="R8" s="10">
        <f t="shared" si="1"/>
        <v>1.4285714285714286E-6</v>
      </c>
      <c r="S8" s="10">
        <f t="shared" si="1"/>
        <v>1.4285714285714286E-6</v>
      </c>
      <c r="T8" s="10">
        <f t="shared" si="1"/>
        <v>1.4285714285714286E-6</v>
      </c>
    </row>
    <row r="9" spans="1:20" x14ac:dyDescent="0.25">
      <c r="A9" s="2" t="s">
        <v>193</v>
      </c>
      <c r="B9" s="3" t="s">
        <v>177</v>
      </c>
      <c r="C9" s="2" t="s">
        <v>253</v>
      </c>
      <c r="D9" s="3" t="s">
        <v>254</v>
      </c>
      <c r="E9" s="12" t="s">
        <v>198</v>
      </c>
      <c r="F9" s="12" t="s">
        <v>196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x14ac:dyDescent="0.25">
      <c r="A10" s="2" t="s">
        <v>194</v>
      </c>
      <c r="B10" s="3" t="s">
        <v>177</v>
      </c>
      <c r="C10" s="2" t="s">
        <v>253</v>
      </c>
      <c r="D10" s="3" t="s">
        <v>254</v>
      </c>
      <c r="E10" s="12" t="s">
        <v>199</v>
      </c>
      <c r="F10" s="12" t="s">
        <v>196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x14ac:dyDescent="0.25">
      <c r="A11" s="2" t="s">
        <v>195</v>
      </c>
      <c r="B11" s="3" t="s">
        <v>177</v>
      </c>
      <c r="C11" s="2" t="s">
        <v>253</v>
      </c>
      <c r="D11" s="3" t="s">
        <v>254</v>
      </c>
      <c r="E11" s="12" t="s">
        <v>200</v>
      </c>
      <c r="F11" s="12" t="s">
        <v>196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2" t="s">
        <v>201</v>
      </c>
      <c r="B12" s="3" t="s">
        <v>177</v>
      </c>
      <c r="C12" s="2" t="s">
        <v>252</v>
      </c>
      <c r="D12" s="2" t="s">
        <v>209</v>
      </c>
      <c r="E12" s="12" t="s">
        <v>202</v>
      </c>
      <c r="F12" s="12" t="s">
        <v>203</v>
      </c>
      <c r="G12" s="15">
        <v>2.0000000000000001E-4</v>
      </c>
      <c r="H12" s="15">
        <v>2.0000000000000001E-4</v>
      </c>
      <c r="I12" s="15">
        <v>2.0000000000000001E-4</v>
      </c>
      <c r="J12" s="15">
        <v>2.0000000000000001E-4</v>
      </c>
      <c r="K12" s="15">
        <v>2.0000000000000001E-4</v>
      </c>
      <c r="L12" s="15">
        <v>2.0000000000000001E-4</v>
      </c>
      <c r="M12" s="15">
        <v>2.0000000000000001E-4</v>
      </c>
      <c r="N12" s="15">
        <v>2.0000000000000001E-4</v>
      </c>
      <c r="O12" s="15">
        <v>2.0000000000000001E-4</v>
      </c>
      <c r="P12" s="15">
        <v>2.0000000000000001E-4</v>
      </c>
      <c r="Q12" s="15">
        <v>2.0000000000000001E-4</v>
      </c>
      <c r="R12" s="15">
        <v>2.0000000000000001E-4</v>
      </c>
      <c r="S12" s="15">
        <v>2.0000000000000001E-4</v>
      </c>
      <c r="T12" s="15">
        <v>2.0000000000000001E-4</v>
      </c>
    </row>
    <row r="13" spans="1:20" x14ac:dyDescent="0.25">
      <c r="A13" s="2" t="s">
        <v>210</v>
      </c>
      <c r="B13" s="3" t="s">
        <v>177</v>
      </c>
      <c r="C13" s="2" t="s">
        <v>252</v>
      </c>
      <c r="D13" s="2" t="s">
        <v>209</v>
      </c>
      <c r="E13" s="12" t="s">
        <v>218</v>
      </c>
      <c r="F13" s="12" t="s">
        <v>219</v>
      </c>
      <c r="G13" s="15">
        <v>2.4999999999999998E-12</v>
      </c>
      <c r="H13" s="10">
        <f t="shared" ref="H13:T13" si="2" xml:space="preserve"> 0.0000000000025*10</f>
        <v>2.4999999999999998E-11</v>
      </c>
      <c r="I13" s="10">
        <f t="shared" si="2"/>
        <v>2.4999999999999998E-11</v>
      </c>
      <c r="J13" s="10">
        <f t="shared" si="2"/>
        <v>2.4999999999999998E-11</v>
      </c>
      <c r="K13" s="10">
        <f t="shared" si="2"/>
        <v>2.4999999999999998E-11</v>
      </c>
      <c r="L13" s="10">
        <f t="shared" si="2"/>
        <v>2.4999999999999998E-11</v>
      </c>
      <c r="M13" s="10">
        <f t="shared" si="2"/>
        <v>2.4999999999999998E-11</v>
      </c>
      <c r="N13" s="10">
        <f t="shared" si="2"/>
        <v>2.4999999999999998E-11</v>
      </c>
      <c r="O13" s="10">
        <f t="shared" si="2"/>
        <v>2.4999999999999998E-11</v>
      </c>
      <c r="P13" s="10">
        <f t="shared" si="2"/>
        <v>2.4999999999999998E-11</v>
      </c>
      <c r="Q13" s="10">
        <f t="shared" si="2"/>
        <v>2.4999999999999998E-11</v>
      </c>
      <c r="R13" s="10">
        <f t="shared" si="2"/>
        <v>2.4999999999999998E-11</v>
      </c>
      <c r="S13" s="10">
        <f t="shared" si="2"/>
        <v>2.4999999999999998E-11</v>
      </c>
      <c r="T13" s="10">
        <f t="shared" si="2"/>
        <v>2.4999999999999998E-11</v>
      </c>
    </row>
    <row r="14" spans="1:20" x14ac:dyDescent="0.25">
      <c r="A14" s="2" t="s">
        <v>211</v>
      </c>
      <c r="B14" s="3" t="s">
        <v>177</v>
      </c>
      <c r="C14" s="2" t="s">
        <v>252</v>
      </c>
      <c r="D14" s="2" t="s">
        <v>209</v>
      </c>
      <c r="E14" s="12" t="s">
        <v>220</v>
      </c>
      <c r="F14" s="12" t="s">
        <v>219</v>
      </c>
      <c r="G14" s="15">
        <v>1.2E-8</v>
      </c>
      <c r="H14" s="10">
        <f>0.00000000005 *2</f>
        <v>1E-10</v>
      </c>
      <c r="I14" s="10">
        <f t="shared" ref="I14:T14" si="3">0.00000000005 *2</f>
        <v>1E-10</v>
      </c>
      <c r="J14" s="10">
        <f t="shared" si="3"/>
        <v>1E-10</v>
      </c>
      <c r="K14" s="10">
        <f t="shared" si="3"/>
        <v>1E-10</v>
      </c>
      <c r="L14" s="10">
        <f t="shared" si="3"/>
        <v>1E-10</v>
      </c>
      <c r="M14" s="10">
        <f t="shared" si="3"/>
        <v>1E-10</v>
      </c>
      <c r="N14" s="10">
        <f t="shared" si="3"/>
        <v>1E-10</v>
      </c>
      <c r="O14" s="10">
        <f t="shared" si="3"/>
        <v>1E-10</v>
      </c>
      <c r="P14" s="10">
        <f t="shared" si="3"/>
        <v>1E-10</v>
      </c>
      <c r="Q14" s="10">
        <f t="shared" si="3"/>
        <v>1E-10</v>
      </c>
      <c r="R14" s="10">
        <f t="shared" si="3"/>
        <v>1E-10</v>
      </c>
      <c r="S14" s="10">
        <f t="shared" si="3"/>
        <v>1E-10</v>
      </c>
      <c r="T14" s="10">
        <f t="shared" si="3"/>
        <v>1E-10</v>
      </c>
    </row>
    <row r="15" spans="1:20" x14ac:dyDescent="0.25">
      <c r="A15" s="2" t="s">
        <v>278</v>
      </c>
      <c r="B15" s="3" t="s">
        <v>177</v>
      </c>
      <c r="C15" s="2" t="s">
        <v>252</v>
      </c>
      <c r="D15" s="2" t="s">
        <v>209</v>
      </c>
      <c r="E15" s="12" t="s">
        <v>220</v>
      </c>
      <c r="F15" s="12" t="s">
        <v>219</v>
      </c>
      <c r="G15" s="15">
        <v>1.2E-8</v>
      </c>
      <c r="H15" s="10">
        <f>H14/10/4</f>
        <v>2.5000000000000003E-12</v>
      </c>
      <c r="I15" s="10">
        <f t="shared" ref="I15:T15" si="4">I14/10/4</f>
        <v>2.5000000000000003E-12</v>
      </c>
      <c r="J15" s="10">
        <f t="shared" si="4"/>
        <v>2.5000000000000003E-12</v>
      </c>
      <c r="K15" s="10">
        <f t="shared" si="4"/>
        <v>2.5000000000000003E-12</v>
      </c>
      <c r="L15" s="10">
        <f t="shared" si="4"/>
        <v>2.5000000000000003E-12</v>
      </c>
      <c r="M15" s="10">
        <f t="shared" si="4"/>
        <v>2.5000000000000003E-12</v>
      </c>
      <c r="N15" s="10">
        <f t="shared" si="4"/>
        <v>2.5000000000000003E-12</v>
      </c>
      <c r="O15" s="10">
        <f t="shared" si="4"/>
        <v>2.5000000000000003E-12</v>
      </c>
      <c r="P15" s="10">
        <f t="shared" si="4"/>
        <v>2.5000000000000003E-12</v>
      </c>
      <c r="Q15" s="10">
        <f t="shared" si="4"/>
        <v>2.5000000000000003E-12</v>
      </c>
      <c r="R15" s="10">
        <f t="shared" si="4"/>
        <v>2.5000000000000003E-12</v>
      </c>
      <c r="S15" s="10">
        <f t="shared" si="4"/>
        <v>2.5000000000000003E-12</v>
      </c>
      <c r="T15" s="10">
        <f t="shared" si="4"/>
        <v>2.5000000000000003E-12</v>
      </c>
    </row>
    <row r="16" spans="1:20" x14ac:dyDescent="0.25">
      <c r="A16" s="2" t="s">
        <v>240</v>
      </c>
      <c r="B16" s="3" t="s">
        <v>177</v>
      </c>
      <c r="C16" s="2" t="s">
        <v>252</v>
      </c>
      <c r="D16" s="2" t="s">
        <v>209</v>
      </c>
      <c r="E16" s="12" t="s">
        <v>220</v>
      </c>
      <c r="F16" s="12" t="s">
        <v>224</v>
      </c>
      <c r="G16" s="15">
        <v>9.9999999999999995E-8</v>
      </c>
      <c r="H16" s="10">
        <f t="shared" ref="H16" si="5">0.0000001 * 10 /2 / 100 /2</f>
        <v>2.5000000000000001E-9</v>
      </c>
      <c r="I16" s="10">
        <f>0.00000001</f>
        <v>1E-8</v>
      </c>
      <c r="J16" s="10">
        <f t="shared" ref="J16:T16" si="6">0.00000001</f>
        <v>1E-8</v>
      </c>
      <c r="K16" s="10">
        <f t="shared" si="6"/>
        <v>1E-8</v>
      </c>
      <c r="L16" s="10">
        <f t="shared" si="6"/>
        <v>1E-8</v>
      </c>
      <c r="M16" s="10">
        <f t="shared" si="6"/>
        <v>1E-8</v>
      </c>
      <c r="N16" s="10">
        <f t="shared" si="6"/>
        <v>1E-8</v>
      </c>
      <c r="O16" s="10">
        <f t="shared" si="6"/>
        <v>1E-8</v>
      </c>
      <c r="P16" s="10">
        <f t="shared" si="6"/>
        <v>1E-8</v>
      </c>
      <c r="Q16" s="10">
        <f t="shared" si="6"/>
        <v>1E-8</v>
      </c>
      <c r="R16" s="10">
        <f t="shared" si="6"/>
        <v>1E-8</v>
      </c>
      <c r="S16" s="10">
        <f t="shared" si="6"/>
        <v>1E-8</v>
      </c>
      <c r="T16" s="10">
        <f t="shared" si="6"/>
        <v>1E-8</v>
      </c>
    </row>
    <row r="17" spans="1:20" x14ac:dyDescent="0.25">
      <c r="A17" s="2" t="s">
        <v>241</v>
      </c>
      <c r="B17" s="3" t="s">
        <v>177</v>
      </c>
      <c r="C17" s="2" t="s">
        <v>252</v>
      </c>
      <c r="D17" s="2" t="s">
        <v>209</v>
      </c>
      <c r="E17" s="12" t="s">
        <v>242</v>
      </c>
      <c r="F17" s="12" t="s">
        <v>192</v>
      </c>
      <c r="G17" s="15">
        <v>100</v>
      </c>
      <c r="H17" s="10">
        <v>1000</v>
      </c>
      <c r="I17" s="10">
        <f>100</f>
        <v>100</v>
      </c>
      <c r="J17" s="10">
        <f>100</f>
        <v>100</v>
      </c>
      <c r="K17" s="10">
        <f>100</f>
        <v>100</v>
      </c>
      <c r="L17" s="10">
        <f>100</f>
        <v>100</v>
      </c>
      <c r="M17" s="10">
        <f>100</f>
        <v>100</v>
      </c>
      <c r="N17" s="10">
        <f>100</f>
        <v>100</v>
      </c>
      <c r="O17" s="10">
        <f>100</f>
        <v>100</v>
      </c>
      <c r="P17" s="10">
        <f>100</f>
        <v>100</v>
      </c>
      <c r="Q17" s="10">
        <f>100</f>
        <v>100</v>
      </c>
      <c r="R17" s="10">
        <f>100</f>
        <v>100</v>
      </c>
      <c r="S17" s="10">
        <f>100</f>
        <v>100</v>
      </c>
      <c r="T17" s="10">
        <f>100</f>
        <v>100</v>
      </c>
    </row>
    <row r="18" spans="1:20" x14ac:dyDescent="0.25">
      <c r="A18" s="2" t="s">
        <v>279</v>
      </c>
      <c r="B18" s="3" t="s">
        <v>177</v>
      </c>
      <c r="C18" s="2" t="s">
        <v>252</v>
      </c>
      <c r="D18" s="2" t="s">
        <v>209</v>
      </c>
      <c r="E18" s="12" t="s">
        <v>221</v>
      </c>
      <c r="F18" s="12" t="s">
        <v>222</v>
      </c>
      <c r="G18" s="15">
        <v>9.9999999999999995E-8</v>
      </c>
      <c r="H18" s="10">
        <f>0.000001 / 10000 / 4 / 10 /5</f>
        <v>4.9999999999999999E-13</v>
      </c>
      <c r="I18" s="10">
        <f t="shared" ref="I18:T18" si="7">0.000001 / 10000 / 4 / 10 /5</f>
        <v>4.9999999999999999E-13</v>
      </c>
      <c r="J18" s="10">
        <f t="shared" si="7"/>
        <v>4.9999999999999999E-13</v>
      </c>
      <c r="K18" s="10">
        <f t="shared" si="7"/>
        <v>4.9999999999999999E-13</v>
      </c>
      <c r="L18" s="10">
        <f t="shared" si="7"/>
        <v>4.9999999999999999E-13</v>
      </c>
      <c r="M18" s="10">
        <f t="shared" si="7"/>
        <v>4.9999999999999999E-13</v>
      </c>
      <c r="N18" s="10">
        <f t="shared" si="7"/>
        <v>4.9999999999999999E-13</v>
      </c>
      <c r="O18" s="10">
        <f t="shared" si="7"/>
        <v>4.9999999999999999E-13</v>
      </c>
      <c r="P18" s="10">
        <f t="shared" si="7"/>
        <v>4.9999999999999999E-13</v>
      </c>
      <c r="Q18" s="10">
        <f t="shared" si="7"/>
        <v>4.9999999999999999E-13</v>
      </c>
      <c r="R18" s="10">
        <f t="shared" si="7"/>
        <v>4.9999999999999999E-13</v>
      </c>
      <c r="S18" s="10">
        <f t="shared" si="7"/>
        <v>4.9999999999999999E-13</v>
      </c>
      <c r="T18" s="10">
        <f t="shared" si="7"/>
        <v>4.9999999999999999E-13</v>
      </c>
    </row>
    <row r="19" spans="1:20" x14ac:dyDescent="0.25">
      <c r="A19" s="2" t="s">
        <v>280</v>
      </c>
      <c r="B19" s="3" t="s">
        <v>177</v>
      </c>
      <c r="C19" s="2" t="s">
        <v>252</v>
      </c>
      <c r="D19" s="2" t="s">
        <v>209</v>
      </c>
      <c r="E19" s="12" t="s">
        <v>221</v>
      </c>
      <c r="F19" s="12" t="s">
        <v>222</v>
      </c>
      <c r="G19" s="15">
        <v>9.9999999999999995E-8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</row>
    <row r="20" spans="1:20" x14ac:dyDescent="0.25">
      <c r="A20" s="2" t="s">
        <v>212</v>
      </c>
      <c r="B20" s="3" t="s">
        <v>177</v>
      </c>
      <c r="C20" s="2" t="s">
        <v>252</v>
      </c>
      <c r="D20" s="2" t="s">
        <v>209</v>
      </c>
      <c r="E20" s="12" t="s">
        <v>223</v>
      </c>
      <c r="F20" s="12" t="s">
        <v>224</v>
      </c>
      <c r="G20" s="15">
        <f>2*0.00001</f>
        <v>2.0000000000000002E-5</v>
      </c>
      <c r="H20" s="10">
        <f>0.00001 / 10 / 5 / 10 * 6</f>
        <v>1.2000000000000002E-7</v>
      </c>
      <c r="I20" s="10">
        <f t="shared" ref="I20:T20" si="8">0.00001 / 10 / 5 / 10 * 6</f>
        <v>1.2000000000000002E-7</v>
      </c>
      <c r="J20" s="10">
        <f t="shared" si="8"/>
        <v>1.2000000000000002E-7</v>
      </c>
      <c r="K20" s="10">
        <f t="shared" si="8"/>
        <v>1.2000000000000002E-7</v>
      </c>
      <c r="L20" s="10">
        <f t="shared" si="8"/>
        <v>1.2000000000000002E-7</v>
      </c>
      <c r="M20" s="10">
        <f t="shared" si="8"/>
        <v>1.2000000000000002E-7</v>
      </c>
      <c r="N20" s="10">
        <f t="shared" si="8"/>
        <v>1.2000000000000002E-7</v>
      </c>
      <c r="O20" s="10">
        <f t="shared" si="8"/>
        <v>1.2000000000000002E-7</v>
      </c>
      <c r="P20" s="10">
        <f t="shared" si="8"/>
        <v>1.2000000000000002E-7</v>
      </c>
      <c r="Q20" s="10">
        <f t="shared" si="8"/>
        <v>1.2000000000000002E-7</v>
      </c>
      <c r="R20" s="10">
        <f t="shared" si="8"/>
        <v>1.2000000000000002E-7</v>
      </c>
      <c r="S20" s="10">
        <f t="shared" si="8"/>
        <v>1.2000000000000002E-7</v>
      </c>
      <c r="T20" s="10">
        <f t="shared" si="8"/>
        <v>1.2000000000000002E-7</v>
      </c>
    </row>
    <row r="21" spans="1:20" x14ac:dyDescent="0.25">
      <c r="A21" s="2" t="s">
        <v>243</v>
      </c>
      <c r="B21" s="3" t="s">
        <v>177</v>
      </c>
      <c r="C21" s="2" t="s">
        <v>252</v>
      </c>
      <c r="D21" s="2" t="s">
        <v>209</v>
      </c>
      <c r="E21" s="12" t="s">
        <v>244</v>
      </c>
      <c r="F21" s="12" t="s">
        <v>224</v>
      </c>
      <c r="G21" s="15">
        <f>2*0.00001</f>
        <v>2.0000000000000002E-5</v>
      </c>
      <c r="H21" s="10">
        <f xml:space="preserve"> 0.001</f>
        <v>1E-3</v>
      </c>
      <c r="I21" s="10">
        <f t="shared" ref="I21:T21" si="9" xml:space="preserve"> 0.001</f>
        <v>1E-3</v>
      </c>
      <c r="J21" s="10">
        <f t="shared" si="9"/>
        <v>1E-3</v>
      </c>
      <c r="K21" s="10">
        <f t="shared" si="9"/>
        <v>1E-3</v>
      </c>
      <c r="L21" s="10">
        <f t="shared" si="9"/>
        <v>1E-3</v>
      </c>
      <c r="M21" s="10">
        <f t="shared" si="9"/>
        <v>1E-3</v>
      </c>
      <c r="N21" s="10">
        <f t="shared" si="9"/>
        <v>1E-3</v>
      </c>
      <c r="O21" s="10">
        <f t="shared" si="9"/>
        <v>1E-3</v>
      </c>
      <c r="P21" s="10">
        <f t="shared" si="9"/>
        <v>1E-3</v>
      </c>
      <c r="Q21" s="10">
        <f t="shared" si="9"/>
        <v>1E-3</v>
      </c>
      <c r="R21" s="10">
        <f t="shared" si="9"/>
        <v>1E-3</v>
      </c>
      <c r="S21" s="10">
        <f t="shared" si="9"/>
        <v>1E-3</v>
      </c>
      <c r="T21" s="10">
        <f t="shared" si="9"/>
        <v>1E-3</v>
      </c>
    </row>
    <row r="22" spans="1:20" x14ac:dyDescent="0.25">
      <c r="A22" s="2" t="s">
        <v>245</v>
      </c>
      <c r="B22" s="3" t="s">
        <v>177</v>
      </c>
      <c r="C22" s="2" t="s">
        <v>252</v>
      </c>
      <c r="D22" s="2" t="s">
        <v>209</v>
      </c>
      <c r="E22" s="12" t="s">
        <v>246</v>
      </c>
      <c r="F22" s="12" t="s">
        <v>224</v>
      </c>
      <c r="G22" s="15">
        <v>1.0000000000000001E-5</v>
      </c>
      <c r="H22" s="10">
        <f>0.00001 /5 /2/4 * 4 * 0.6 * 10*2</f>
        <v>1.2000000000000002E-5</v>
      </c>
      <c r="I22" s="10">
        <f t="shared" ref="I22:T22" si="10">0.00001 /5 /2/4 * 4 * 0.6 * 10*2</f>
        <v>1.2000000000000002E-5</v>
      </c>
      <c r="J22" s="10">
        <f t="shared" si="10"/>
        <v>1.2000000000000002E-5</v>
      </c>
      <c r="K22" s="10">
        <f t="shared" si="10"/>
        <v>1.2000000000000002E-5</v>
      </c>
      <c r="L22" s="10">
        <f t="shared" si="10"/>
        <v>1.2000000000000002E-5</v>
      </c>
      <c r="M22" s="10">
        <f t="shared" si="10"/>
        <v>1.2000000000000002E-5</v>
      </c>
      <c r="N22" s="10">
        <f t="shared" si="10"/>
        <v>1.2000000000000002E-5</v>
      </c>
      <c r="O22" s="10">
        <f t="shared" si="10"/>
        <v>1.2000000000000002E-5</v>
      </c>
      <c r="P22" s="10">
        <f t="shared" si="10"/>
        <v>1.2000000000000002E-5</v>
      </c>
      <c r="Q22" s="10">
        <f t="shared" si="10"/>
        <v>1.2000000000000002E-5</v>
      </c>
      <c r="R22" s="10">
        <f t="shared" si="10"/>
        <v>1.2000000000000002E-5</v>
      </c>
      <c r="S22" s="10">
        <f t="shared" si="10"/>
        <v>1.2000000000000002E-5</v>
      </c>
      <c r="T22" s="10">
        <f t="shared" si="10"/>
        <v>1.2000000000000002E-5</v>
      </c>
    </row>
    <row r="23" spans="1:20" x14ac:dyDescent="0.25">
      <c r="A23" s="2" t="s">
        <v>213</v>
      </c>
      <c r="B23" s="3" t="s">
        <v>177</v>
      </c>
      <c r="C23" s="2" t="s">
        <v>253</v>
      </c>
      <c r="D23" s="3" t="s">
        <v>254</v>
      </c>
      <c r="E23" s="12" t="s">
        <v>225</v>
      </c>
      <c r="F23" s="12" t="s">
        <v>192</v>
      </c>
      <c r="G23" s="16">
        <v>0.2</v>
      </c>
      <c r="H23" s="10">
        <v>0.2</v>
      </c>
      <c r="I23" s="10">
        <v>0.2</v>
      </c>
      <c r="J23" s="10">
        <v>0.2</v>
      </c>
      <c r="K23" s="10">
        <v>0.2</v>
      </c>
      <c r="L23" s="10">
        <v>0.2</v>
      </c>
      <c r="M23" s="10">
        <v>0.2</v>
      </c>
      <c r="N23" s="10">
        <v>0.2</v>
      </c>
      <c r="O23" s="10">
        <v>0.2</v>
      </c>
      <c r="P23" s="10">
        <v>0.2</v>
      </c>
      <c r="Q23" s="10">
        <v>0.2</v>
      </c>
      <c r="R23" s="10">
        <v>0.2</v>
      </c>
      <c r="S23" s="10">
        <v>0.2</v>
      </c>
      <c r="T23" s="10">
        <v>0.2</v>
      </c>
    </row>
    <row r="24" spans="1:20" x14ac:dyDescent="0.25">
      <c r="A24" s="2" t="s">
        <v>214</v>
      </c>
      <c r="B24" s="3" t="s">
        <v>177</v>
      </c>
      <c r="C24" s="2" t="s">
        <v>253</v>
      </c>
      <c r="D24" s="3" t="s">
        <v>254</v>
      </c>
      <c r="E24" s="12" t="s">
        <v>226</v>
      </c>
      <c r="F24" s="12" t="s">
        <v>196</v>
      </c>
      <c r="G24" s="16" t="s">
        <v>181</v>
      </c>
      <c r="H24" s="10" t="s">
        <v>181</v>
      </c>
      <c r="I24" s="10" t="s">
        <v>181</v>
      </c>
      <c r="J24" s="10" t="s">
        <v>181</v>
      </c>
      <c r="K24" s="10" t="s">
        <v>181</v>
      </c>
      <c r="L24" s="10" t="s">
        <v>181</v>
      </c>
      <c r="M24" s="10" t="s">
        <v>181</v>
      </c>
      <c r="N24" s="10" t="s">
        <v>181</v>
      </c>
      <c r="O24" s="10" t="s">
        <v>181</v>
      </c>
      <c r="P24" s="10" t="s">
        <v>181</v>
      </c>
      <c r="Q24" s="10" t="s">
        <v>181</v>
      </c>
      <c r="R24" s="10" t="s">
        <v>181</v>
      </c>
      <c r="S24" s="10" t="s">
        <v>181</v>
      </c>
      <c r="T24" s="10" t="s">
        <v>181</v>
      </c>
    </row>
    <row r="25" spans="1:20" x14ac:dyDescent="0.25">
      <c r="A25" s="2" t="s">
        <v>215</v>
      </c>
      <c r="B25" s="3" t="s">
        <v>177</v>
      </c>
      <c r="C25" s="2" t="s">
        <v>253</v>
      </c>
      <c r="D25" s="3" t="s">
        <v>254</v>
      </c>
      <c r="E25" s="12" t="s">
        <v>227</v>
      </c>
      <c r="F25" s="12" t="s">
        <v>196</v>
      </c>
      <c r="G25" s="16">
        <f>2*0.1</f>
        <v>0.2</v>
      </c>
      <c r="H25" s="10">
        <f t="shared" ref="H25:T25" si="11">2*0.1</f>
        <v>0.2</v>
      </c>
      <c r="I25" s="10">
        <f t="shared" si="11"/>
        <v>0.2</v>
      </c>
      <c r="J25" s="10">
        <f t="shared" si="11"/>
        <v>0.2</v>
      </c>
      <c r="K25" s="10">
        <f t="shared" si="11"/>
        <v>0.2</v>
      </c>
      <c r="L25" s="10">
        <f t="shared" si="11"/>
        <v>0.2</v>
      </c>
      <c r="M25" s="10">
        <f t="shared" si="11"/>
        <v>0.2</v>
      </c>
      <c r="N25" s="10">
        <f t="shared" si="11"/>
        <v>0.2</v>
      </c>
      <c r="O25" s="10">
        <f t="shared" si="11"/>
        <v>0.2</v>
      </c>
      <c r="P25" s="10">
        <f t="shared" si="11"/>
        <v>0.2</v>
      </c>
      <c r="Q25" s="10">
        <f t="shared" si="11"/>
        <v>0.2</v>
      </c>
      <c r="R25" s="10">
        <f t="shared" si="11"/>
        <v>0.2</v>
      </c>
      <c r="S25" s="10">
        <f t="shared" si="11"/>
        <v>0.2</v>
      </c>
      <c r="T25" s="10">
        <f t="shared" si="11"/>
        <v>0.2</v>
      </c>
    </row>
    <row r="26" spans="1:20" x14ac:dyDescent="0.25">
      <c r="A26" s="2" t="s">
        <v>216</v>
      </c>
      <c r="B26" s="3" t="s">
        <v>177</v>
      </c>
      <c r="C26" s="2" t="s">
        <v>253</v>
      </c>
      <c r="D26" s="3" t="s">
        <v>254</v>
      </c>
      <c r="E26" s="12" t="s">
        <v>228</v>
      </c>
      <c r="F26" s="12" t="s">
        <v>196</v>
      </c>
      <c r="G26" s="16">
        <v>1E-3</v>
      </c>
      <c r="H26" s="10">
        <v>1E-3</v>
      </c>
      <c r="I26" s="10">
        <v>1E-3</v>
      </c>
      <c r="J26" s="10">
        <v>1E-3</v>
      </c>
      <c r="K26" s="10">
        <v>1E-3</v>
      </c>
      <c r="L26" s="10">
        <v>1E-3</v>
      </c>
      <c r="M26" s="10">
        <v>1E-3</v>
      </c>
      <c r="N26" s="10">
        <v>1E-3</v>
      </c>
      <c r="O26" s="10">
        <v>1E-3</v>
      </c>
      <c r="P26" s="10">
        <v>1E-3</v>
      </c>
      <c r="Q26" s="10">
        <v>1E-3</v>
      </c>
      <c r="R26" s="10">
        <v>1E-3</v>
      </c>
      <c r="S26" s="10">
        <v>1E-3</v>
      </c>
      <c r="T26" s="10">
        <v>1E-3</v>
      </c>
    </row>
    <row r="27" spans="1:20" x14ac:dyDescent="0.25">
      <c r="A27" s="2" t="s">
        <v>217</v>
      </c>
      <c r="B27" s="3" t="s">
        <v>177</v>
      </c>
      <c r="C27" s="2" t="s">
        <v>252</v>
      </c>
      <c r="D27" s="2" t="s">
        <v>209</v>
      </c>
      <c r="E27" s="12" t="s">
        <v>229</v>
      </c>
      <c r="F27" s="12" t="s">
        <v>196</v>
      </c>
      <c r="G27" s="14">
        <v>1.0000000000000001E-5</v>
      </c>
      <c r="H27" s="10">
        <f>0.00001 / 2 * 10 /2 / 3 / 3 / 3</f>
        <v>9.2592592592592594E-7</v>
      </c>
      <c r="I27" s="10">
        <f t="shared" ref="I27:T27" si="12">0.00001 / 2 * 10 /2 / 3 / 3 / 3</f>
        <v>9.2592592592592594E-7</v>
      </c>
      <c r="J27" s="10">
        <f t="shared" si="12"/>
        <v>9.2592592592592594E-7</v>
      </c>
      <c r="K27" s="10">
        <f t="shared" si="12"/>
        <v>9.2592592592592594E-7</v>
      </c>
      <c r="L27" s="10">
        <f t="shared" si="12"/>
        <v>9.2592592592592594E-7</v>
      </c>
      <c r="M27" s="10">
        <f t="shared" si="12"/>
        <v>9.2592592592592594E-7</v>
      </c>
      <c r="N27" s="10">
        <f t="shared" si="12"/>
        <v>9.2592592592592594E-7</v>
      </c>
      <c r="O27" s="10">
        <f t="shared" si="12"/>
        <v>9.2592592592592594E-7</v>
      </c>
      <c r="P27" s="10">
        <f t="shared" si="12"/>
        <v>9.2592592592592594E-7</v>
      </c>
      <c r="Q27" s="10">
        <f t="shared" si="12"/>
        <v>9.2592592592592594E-7</v>
      </c>
      <c r="R27" s="10">
        <f t="shared" si="12"/>
        <v>9.2592592592592594E-7</v>
      </c>
      <c r="S27" s="10">
        <f t="shared" si="12"/>
        <v>9.2592592592592594E-7</v>
      </c>
      <c r="T27" s="10">
        <f t="shared" si="12"/>
        <v>9.2592592592592594E-7</v>
      </c>
    </row>
    <row r="28" spans="1:20" x14ac:dyDescent="0.25">
      <c r="A28" s="2" t="s">
        <v>247</v>
      </c>
      <c r="B28" s="3" t="s">
        <v>177</v>
      </c>
      <c r="C28" s="2" t="s">
        <v>252</v>
      </c>
      <c r="D28" s="2" t="s">
        <v>209</v>
      </c>
      <c r="E28" s="12" t="s">
        <v>248</v>
      </c>
      <c r="F28" s="12" t="s">
        <v>196</v>
      </c>
      <c r="G28" s="14">
        <v>1.0000000000000001E-5</v>
      </c>
      <c r="H28" s="10">
        <f>0.000000005 / 5 *10 / 2 / 3 / 2 / 2</f>
        <v>4.1666666666666668E-10</v>
      </c>
      <c r="I28" s="10">
        <f t="shared" ref="I28:T28" si="13">0.000000005 / 5 *10 / 2 / 3 / 2 / 2</f>
        <v>4.1666666666666668E-10</v>
      </c>
      <c r="J28" s="10">
        <f t="shared" si="13"/>
        <v>4.1666666666666668E-10</v>
      </c>
      <c r="K28" s="10">
        <f t="shared" si="13"/>
        <v>4.1666666666666668E-10</v>
      </c>
      <c r="L28" s="10">
        <f t="shared" si="13"/>
        <v>4.1666666666666668E-10</v>
      </c>
      <c r="M28" s="10">
        <f t="shared" si="13"/>
        <v>4.1666666666666668E-10</v>
      </c>
      <c r="N28" s="10">
        <f t="shared" si="13"/>
        <v>4.1666666666666668E-10</v>
      </c>
      <c r="O28" s="10">
        <f t="shared" si="13"/>
        <v>4.1666666666666668E-10</v>
      </c>
      <c r="P28" s="10">
        <f t="shared" si="13"/>
        <v>4.1666666666666668E-10</v>
      </c>
      <c r="Q28" s="10">
        <f t="shared" si="13"/>
        <v>4.1666666666666668E-10</v>
      </c>
      <c r="R28" s="10">
        <f t="shared" si="13"/>
        <v>4.1666666666666668E-10</v>
      </c>
      <c r="S28" s="10">
        <f t="shared" si="13"/>
        <v>4.1666666666666668E-10</v>
      </c>
      <c r="T28" s="10">
        <f t="shared" si="13"/>
        <v>4.1666666666666668E-10</v>
      </c>
    </row>
    <row r="29" spans="1:20" x14ac:dyDescent="0.25">
      <c r="A29" s="2" t="s">
        <v>237</v>
      </c>
      <c r="B29" s="3" t="s">
        <v>177</v>
      </c>
      <c r="C29" s="2" t="s">
        <v>253</v>
      </c>
      <c r="D29" s="3" t="s">
        <v>254</v>
      </c>
      <c r="E29" s="5" t="s">
        <v>231</v>
      </c>
      <c r="F29" s="5" t="s">
        <v>232</v>
      </c>
      <c r="G29" s="10">
        <f t="shared" ref="G29" si="14">0.00002 / 14 / 5</f>
        <v>2.8571428571428575E-7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</row>
    <row r="30" spans="1:20" x14ac:dyDescent="0.25">
      <c r="A30" s="2" t="s">
        <v>238</v>
      </c>
      <c r="B30" s="3" t="s">
        <v>177</v>
      </c>
      <c r="C30" s="2" t="s">
        <v>253</v>
      </c>
      <c r="D30" s="3" t="s">
        <v>254</v>
      </c>
      <c r="E30" s="5" t="s">
        <v>231</v>
      </c>
      <c r="F30" s="5" t="s">
        <v>232</v>
      </c>
      <c r="G30" s="10">
        <f t="shared" ref="G30" si="15">0.00002 / 14 / 5 /10</f>
        <v>2.8571428571428575E-8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  <row r="31" spans="1:20" x14ac:dyDescent="0.25">
      <c r="A31" s="1" t="s">
        <v>276</v>
      </c>
      <c r="B31" s="3" t="s">
        <v>177</v>
      </c>
      <c r="C31" s="2" t="s">
        <v>252</v>
      </c>
      <c r="D31" s="2" t="s">
        <v>209</v>
      </c>
      <c r="E31" s="12" t="s">
        <v>277</v>
      </c>
      <c r="F31" s="12" t="s">
        <v>192</v>
      </c>
      <c r="G31" s="14">
        <v>260</v>
      </c>
      <c r="H31" s="10">
        <v>260</v>
      </c>
      <c r="I31" s="10">
        <v>260</v>
      </c>
      <c r="J31" s="10">
        <v>260</v>
      </c>
      <c r="K31" s="10">
        <v>260</v>
      </c>
      <c r="L31" s="10">
        <v>260</v>
      </c>
      <c r="M31" s="10">
        <v>260</v>
      </c>
      <c r="N31" s="10">
        <v>260</v>
      </c>
      <c r="O31" s="10">
        <v>260</v>
      </c>
      <c r="P31" s="10">
        <v>260</v>
      </c>
      <c r="Q31" s="10">
        <v>260</v>
      </c>
      <c r="R31" s="10">
        <v>260</v>
      </c>
      <c r="S31" s="10">
        <v>260</v>
      </c>
      <c r="T31" s="10">
        <v>260</v>
      </c>
    </row>
    <row r="32" spans="1:20" x14ac:dyDescent="0.25">
      <c r="A32" s="1" t="s">
        <v>282</v>
      </c>
      <c r="B32" s="3" t="s">
        <v>177</v>
      </c>
      <c r="C32" s="2" t="s">
        <v>252</v>
      </c>
      <c r="D32" s="2" t="s">
        <v>209</v>
      </c>
      <c r="E32" s="12" t="s">
        <v>281</v>
      </c>
      <c r="F32" s="12" t="s">
        <v>192</v>
      </c>
      <c r="G32" s="19" t="s">
        <v>283</v>
      </c>
      <c r="H32" s="10" t="s">
        <v>284</v>
      </c>
      <c r="I32" s="10" t="s">
        <v>284</v>
      </c>
      <c r="J32" s="10" t="s">
        <v>284</v>
      </c>
      <c r="K32" s="10" t="s">
        <v>284</v>
      </c>
      <c r="L32" s="10" t="s">
        <v>284</v>
      </c>
      <c r="M32" s="10" t="s">
        <v>284</v>
      </c>
      <c r="N32" s="10" t="s">
        <v>284</v>
      </c>
      <c r="O32" s="10" t="s">
        <v>284</v>
      </c>
      <c r="P32" s="10" t="s">
        <v>284</v>
      </c>
      <c r="Q32" s="10" t="s">
        <v>284</v>
      </c>
      <c r="R32" s="10" t="s">
        <v>284</v>
      </c>
      <c r="S32" s="10" t="s">
        <v>284</v>
      </c>
      <c r="T32" s="10" t="s">
        <v>284</v>
      </c>
    </row>
  </sheetData>
  <conditionalFormatting sqref="G29:G30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T30"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:H17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T13"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T1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T1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19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0:T2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6"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7:T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8:T2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30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1:T3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T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:T1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:T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2025-12-11T14:28:09Z</dcterms:modified>
</cp:coreProperties>
</file>