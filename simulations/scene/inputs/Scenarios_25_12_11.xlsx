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IGERA~1\AppData\Local\Temp\scp54510\work_home\tigerault\Wheat-BRIDGES_framework\Root-CyNAPS\simulations\scene\inputs\"/>
    </mc:Choice>
  </mc:AlternateContent>
  <xr:revisionPtr revIDLastSave="0" documentId="13_ncr:1_{A1762FF8-D615-4F88-A1F7-2E488AC900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s_as_columns" sheetId="2" r:id="rId1"/>
    <sheet name="Comparison_with_parameters.py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4" i="2" l="1"/>
  <c r="J34" i="2"/>
  <c r="K34" i="2"/>
  <c r="L34" i="2"/>
  <c r="M34" i="2"/>
  <c r="N34" i="2"/>
  <c r="O34" i="2"/>
  <c r="P34" i="2"/>
  <c r="Q34" i="2"/>
  <c r="R34" i="2"/>
  <c r="S34" i="2"/>
  <c r="T34" i="2"/>
  <c r="J16" i="2"/>
  <c r="K16" i="2"/>
  <c r="L16" i="2"/>
  <c r="M16" i="2"/>
  <c r="N16" i="2"/>
  <c r="O16" i="2"/>
  <c r="P16" i="2"/>
  <c r="Q16" i="2"/>
  <c r="R16" i="2"/>
  <c r="S16" i="2"/>
  <c r="T16" i="2"/>
  <c r="I16" i="2"/>
  <c r="J28" i="2"/>
  <c r="K28" i="2"/>
  <c r="L28" i="2"/>
  <c r="M28" i="2"/>
  <c r="N28" i="2"/>
  <c r="O28" i="2"/>
  <c r="P28" i="2"/>
  <c r="Q28" i="2"/>
  <c r="R28" i="2"/>
  <c r="S28" i="2"/>
  <c r="T28" i="2"/>
  <c r="J29" i="2"/>
  <c r="K29" i="2"/>
  <c r="L29" i="2"/>
  <c r="M29" i="2"/>
  <c r="N29" i="2"/>
  <c r="O29" i="2"/>
  <c r="P29" i="2"/>
  <c r="Q29" i="2"/>
  <c r="R29" i="2"/>
  <c r="S29" i="2"/>
  <c r="T29" i="2"/>
  <c r="I29" i="2"/>
  <c r="I28" i="2"/>
  <c r="J37" i="2" l="1"/>
  <c r="K37" i="2"/>
  <c r="L37" i="2"/>
  <c r="M37" i="2"/>
  <c r="N37" i="2"/>
  <c r="O37" i="2"/>
  <c r="P37" i="2"/>
  <c r="Q37" i="2"/>
  <c r="R37" i="2"/>
  <c r="S37" i="2"/>
  <c r="T37" i="2"/>
  <c r="J36" i="2"/>
  <c r="K36" i="2"/>
  <c r="L36" i="2"/>
  <c r="M36" i="2"/>
  <c r="N36" i="2"/>
  <c r="O36" i="2"/>
  <c r="P36" i="2"/>
  <c r="Q36" i="2"/>
  <c r="R36" i="2"/>
  <c r="S36" i="2"/>
  <c r="T36" i="2"/>
  <c r="I36" i="2"/>
  <c r="I37" i="2"/>
  <c r="H36" i="2" l="1"/>
  <c r="H17" i="2" l="1"/>
  <c r="H34" i="2"/>
  <c r="I3" i="2"/>
  <c r="J3" i="2"/>
  <c r="K3" i="2"/>
  <c r="L3" i="2"/>
  <c r="M3" i="2"/>
  <c r="N3" i="2"/>
  <c r="O3" i="2"/>
  <c r="P3" i="2"/>
  <c r="Q3" i="2"/>
  <c r="R3" i="2"/>
  <c r="S3" i="2"/>
  <c r="T3" i="2"/>
  <c r="H29" i="2"/>
  <c r="H28" i="2"/>
  <c r="I23" i="2"/>
  <c r="J23" i="2"/>
  <c r="K23" i="2"/>
  <c r="L23" i="2"/>
  <c r="M23" i="2"/>
  <c r="N23" i="2"/>
  <c r="O23" i="2"/>
  <c r="P23" i="2"/>
  <c r="Q23" i="2"/>
  <c r="R23" i="2"/>
  <c r="S23" i="2"/>
  <c r="T23" i="2"/>
  <c r="H23" i="2"/>
  <c r="I22" i="2"/>
  <c r="J22" i="2"/>
  <c r="K22" i="2"/>
  <c r="L22" i="2"/>
  <c r="M22" i="2"/>
  <c r="N22" i="2"/>
  <c r="O22" i="2"/>
  <c r="P22" i="2"/>
  <c r="Q22" i="2"/>
  <c r="R22" i="2"/>
  <c r="S22" i="2"/>
  <c r="T22" i="2"/>
  <c r="H22" i="2"/>
  <c r="I21" i="2"/>
  <c r="J21" i="2"/>
  <c r="K21" i="2"/>
  <c r="L21" i="2"/>
  <c r="M21" i="2"/>
  <c r="N21" i="2"/>
  <c r="O21" i="2"/>
  <c r="P21" i="2"/>
  <c r="Q21" i="2"/>
  <c r="R21" i="2"/>
  <c r="S21" i="2"/>
  <c r="T21" i="2"/>
  <c r="H21" i="2"/>
  <c r="I19" i="2"/>
  <c r="J19" i="2"/>
  <c r="K19" i="2"/>
  <c r="L19" i="2"/>
  <c r="M19" i="2"/>
  <c r="N19" i="2"/>
  <c r="O19" i="2"/>
  <c r="P19" i="2"/>
  <c r="Q19" i="2"/>
  <c r="R19" i="2"/>
  <c r="S19" i="2"/>
  <c r="T19" i="2"/>
  <c r="H19" i="2"/>
  <c r="J18" i="2"/>
  <c r="K18" i="2"/>
  <c r="L18" i="2"/>
  <c r="M18" i="2"/>
  <c r="N18" i="2"/>
  <c r="O18" i="2"/>
  <c r="P18" i="2"/>
  <c r="Q18" i="2"/>
  <c r="R18" i="2"/>
  <c r="S18" i="2"/>
  <c r="T18" i="2"/>
  <c r="I18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H16" i="2" s="1"/>
  <c r="T26" i="2"/>
  <c r="T13" i="2"/>
  <c r="S26" i="2"/>
  <c r="S13" i="2"/>
  <c r="Q26" i="2"/>
  <c r="Q13" i="2"/>
  <c r="P26" i="2"/>
  <c r="P13" i="2"/>
  <c r="O26" i="2"/>
  <c r="O13" i="2"/>
  <c r="N26" i="2"/>
  <c r="N13" i="2"/>
  <c r="M26" i="2"/>
  <c r="M13" i="2"/>
  <c r="L26" i="2"/>
  <c r="L13" i="2"/>
  <c r="K26" i="2"/>
  <c r="K13" i="2"/>
  <c r="J26" i="2"/>
  <c r="J13" i="2"/>
  <c r="I26" i="2"/>
  <c r="I13" i="2"/>
  <c r="H26" i="2"/>
  <c r="H13" i="2"/>
  <c r="T8" i="2" l="1"/>
  <c r="T6" i="2"/>
  <c r="S8" i="2"/>
  <c r="S6" i="2"/>
  <c r="R26" i="2"/>
  <c r="R13" i="2"/>
  <c r="R8" i="2"/>
  <c r="R6" i="2"/>
  <c r="Q8" i="2"/>
  <c r="Q6" i="2"/>
  <c r="P8" i="2"/>
  <c r="P6" i="2"/>
  <c r="O8" i="2"/>
  <c r="O6" i="2"/>
  <c r="N8" i="2"/>
  <c r="N6" i="2"/>
  <c r="M8" i="2"/>
  <c r="M6" i="2"/>
  <c r="L8" i="2"/>
  <c r="L6" i="2"/>
  <c r="K8" i="2"/>
  <c r="K6" i="2"/>
  <c r="J8" i="2"/>
  <c r="J6" i="2"/>
  <c r="I8" i="2"/>
  <c r="I6" i="2"/>
  <c r="G22" i="2" l="1"/>
  <c r="H6" i="2" l="1"/>
  <c r="H8" i="2" l="1"/>
  <c r="G21" i="2"/>
  <c r="G26" i="2"/>
  <c r="G30" i="2"/>
  <c r="G31" i="2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2" i="4"/>
</calcChain>
</file>

<file path=xl/sharedStrings.xml><?xml version="1.0" encoding="utf-8"?>
<sst xmlns="http://schemas.openxmlformats.org/spreadsheetml/2006/main" count="622" uniqueCount="298">
  <si>
    <t>input_file</t>
  </si>
  <si>
    <t>input_file_time_step_in_days</t>
  </si>
  <si>
    <t>random</t>
  </si>
  <si>
    <t>random_choice</t>
  </si>
  <si>
    <t>simulation_period_in_days</t>
  </si>
  <si>
    <t>time_step_in_days</t>
  </si>
  <si>
    <t>forcing_constant_inputs</t>
  </si>
  <si>
    <t>constant_sucrose_input_rate</t>
  </si>
  <si>
    <t>constant_soil_temperature_in_Celsius</t>
  </si>
  <si>
    <t>nodules_option</t>
  </si>
  <si>
    <t>root_order_limitation</t>
  </si>
  <si>
    <t>root_order_treshold</t>
  </si>
  <si>
    <t>ArchiSimple</t>
  </si>
  <si>
    <t>ArchiSimple_C_fraction</t>
  </si>
  <si>
    <t>radial_growth</t>
  </si>
  <si>
    <t>recording_images</t>
  </si>
  <si>
    <t>classification_by_layers</t>
  </si>
  <si>
    <t>layers_z_min</t>
  </si>
  <si>
    <t>layers_z_max</t>
  </si>
  <si>
    <t>layers_thickness</t>
  </si>
  <si>
    <t>recording_interval_in_days</t>
  </si>
  <si>
    <t>plotting</t>
  </si>
  <si>
    <t>displayed_property</t>
  </si>
  <si>
    <t>displayed_min_value</t>
  </si>
  <si>
    <t>displayed_max_value</t>
  </si>
  <si>
    <t>log_scale</t>
  </si>
  <si>
    <t>color_map</t>
  </si>
  <si>
    <t>root_hairs_display</t>
  </si>
  <si>
    <t>camera_rotation</t>
  </si>
  <si>
    <t>camera_rotation_n_points</t>
  </si>
  <si>
    <t>x_center</t>
  </si>
  <si>
    <t>y_center</t>
  </si>
  <si>
    <t>z_center</t>
  </si>
  <si>
    <t>z_camera</t>
  </si>
  <si>
    <t>camera_distance</t>
  </si>
  <si>
    <t>step_back_coefficient</t>
  </si>
  <si>
    <t>initial_segment_length</t>
  </si>
  <si>
    <t>initial_C_sucrose_root</t>
  </si>
  <si>
    <t>initial_C_hexose_root</t>
  </si>
  <si>
    <t>D_ini</t>
  </si>
  <si>
    <t>Dmin</t>
  </si>
  <si>
    <t>D_adv_to_D_ini_ratio</t>
  </si>
  <si>
    <t>n_adventitious_roots</t>
  </si>
  <si>
    <t>ER</t>
  </si>
  <si>
    <t>EL</t>
  </si>
  <si>
    <t>IPD</t>
  </si>
  <si>
    <t>emergence_delay</t>
  </si>
  <si>
    <t>RMD</t>
  </si>
  <si>
    <t>CVDD</t>
  </si>
  <si>
    <t>SGC</t>
  </si>
  <si>
    <t>GDs</t>
  </si>
  <si>
    <t>LDs</t>
  </si>
  <si>
    <t>root_tissue_density</t>
  </si>
  <si>
    <t>struct_mass_C_content</t>
  </si>
  <si>
    <t>segment_length</t>
  </si>
  <si>
    <t>gravitropism_coefficient</t>
  </si>
  <si>
    <t>C_hexose_reserve_min</t>
  </si>
  <si>
    <t>C_hexose_reserve_max</t>
  </si>
  <si>
    <t>C_hexose_root_min_for_reserve</t>
  </si>
  <si>
    <t>growing_zone_factor</t>
  </si>
  <si>
    <t>T_ref_growth</t>
  </si>
  <si>
    <t>yield_growth</t>
  </si>
  <si>
    <t>Km_elongation</t>
  </si>
  <si>
    <t>relative_root_thickening_rate_max</t>
  </si>
  <si>
    <t>Km_thickening</t>
  </si>
  <si>
    <t>phloem_surfacic_fraction</t>
  </si>
  <si>
    <t>phloem_permeability</t>
  </si>
  <si>
    <t>Km_unloading</t>
  </si>
  <si>
    <t>surfacic_loading_rate_reference</t>
  </si>
  <si>
    <t>gamma_loading</t>
  </si>
  <si>
    <t>Km_loading</t>
  </si>
  <si>
    <t>max_immobilization_rate</t>
  </si>
  <si>
    <t>Km_immobilization</t>
  </si>
  <si>
    <t>max_mobilization_rate</t>
  </si>
  <si>
    <t>Km_mobilization</t>
  </si>
  <si>
    <t>resp_maintenance_max</t>
  </si>
  <si>
    <t>Km_maintenance</t>
  </si>
  <si>
    <t>symplasm_surfacic_fraction</t>
  </si>
  <si>
    <t>Pmax_apex</t>
  </si>
  <si>
    <t>gamma_exudation</t>
  </si>
  <si>
    <t>uptake_rate_max</t>
  </si>
  <si>
    <t>Km_uptake</t>
  </si>
  <si>
    <t>nodule_formation_probability</t>
  </si>
  <si>
    <t>nodule_max_radius</t>
  </si>
  <si>
    <t>relative_nodule_thickening_rate_max</t>
  </si>
  <si>
    <t>Km_nodule_thickening</t>
  </si>
  <si>
    <t>sucrose_input_Swinnen_et_al_1994.csv</t>
  </si>
  <si>
    <t>n_seminal_roots</t>
  </si>
  <si>
    <t>Type/ Unit</t>
  </si>
  <si>
    <t>Explanation</t>
  </si>
  <si>
    <t>main_roots_growth_extender</t>
  </si>
  <si>
    <t>pi</t>
  </si>
  <si>
    <t>D_sem_to_D_ini_ratio</t>
  </si>
  <si>
    <t>starting_time_for_adventitious_roots_emergence</t>
  </si>
  <si>
    <t>relative_process_value_at_T_ref_growth</t>
  </si>
  <si>
    <t>root_growth_T_ref</t>
  </si>
  <si>
    <t>root_growth_A</t>
  </si>
  <si>
    <t>root_growth_B</t>
  </si>
  <si>
    <t>root_growth_C</t>
  </si>
  <si>
    <t>root_hair_radius</t>
  </si>
  <si>
    <t>root_hair_max_length</t>
  </si>
  <si>
    <t>root_hairs_density</t>
  </si>
  <si>
    <t>root_hairs_elongation_rate</t>
  </si>
  <si>
    <t>root_hairs_lifespan</t>
  </si>
  <si>
    <t>resp_maintenance_max_T_ref</t>
  </si>
  <si>
    <t>resp_maintenance_max_A</t>
  </si>
  <si>
    <t>resp_maintenance_max_B</t>
  </si>
  <si>
    <t>resp_maintenance_max_C</t>
  </si>
  <si>
    <t>expected_C_sucrose_root</t>
  </si>
  <si>
    <t>expected_C_hexose_root</t>
  </si>
  <si>
    <t>expected_C_hexose_soil</t>
  </si>
  <si>
    <t>expected_C_hexose_reserve</t>
  </si>
  <si>
    <t>surfacic_unloading_rate_reference</t>
  </si>
  <si>
    <t>surfacic_unloading_rate_primordium</t>
  </si>
  <si>
    <t>phloem_permeability_T_ref</t>
  </si>
  <si>
    <t>phloem_permeability_A</t>
  </si>
  <si>
    <t>phloem_permeability_B</t>
  </si>
  <si>
    <t>phloem_permeability_C</t>
  </si>
  <si>
    <t>max_loading_rate_T_ref</t>
  </si>
  <si>
    <t>max_loading_rate_A</t>
  </si>
  <si>
    <t>max_loading_rate_B</t>
  </si>
  <si>
    <t>max_loading_rate_C</t>
  </si>
  <si>
    <t>max_immobilization_rate_T_ref</t>
  </si>
  <si>
    <t>max_immobilization_rate_A</t>
  </si>
  <si>
    <t>max_immobilization_rate_B</t>
  </si>
  <si>
    <t>max_immobilization_rate_C</t>
  </si>
  <si>
    <t>max_mobilization_rate_T_ref</t>
  </si>
  <si>
    <t>max_mobilization_rate_A</t>
  </si>
  <si>
    <t>max_mobilization_rate_B</t>
  </si>
  <si>
    <t>max_mobilization_rate_C</t>
  </si>
  <si>
    <t>expected_exudation_efflux</t>
  </si>
  <si>
    <t>permeability_coeff_T_ref</t>
  </si>
  <si>
    <t>permeability_coeff_A</t>
  </si>
  <si>
    <t>permeability_coeff_B</t>
  </si>
  <si>
    <t>permeability_coeff_C</t>
  </si>
  <si>
    <t>uptake_rate_max_T_ref</t>
  </si>
  <si>
    <t>uptake_rate_max_A</t>
  </si>
  <si>
    <t>uptake_rate_max_B</t>
  </si>
  <si>
    <t>uptake_rate_max_C</t>
  </si>
  <si>
    <t>secretion_rate_max</t>
  </si>
  <si>
    <t>secretion_rate_max_T_ref</t>
  </si>
  <si>
    <t>secretion_rate_max_A</t>
  </si>
  <si>
    <t>secretion_rate_max_B</t>
  </si>
  <si>
    <t>secretion_rate_max_C</t>
  </si>
  <si>
    <t>Km_secretion</t>
  </si>
  <si>
    <t>gamma_secretion</t>
  </si>
  <si>
    <t>surfacic_cells_release_rate</t>
  </si>
  <si>
    <t>surfacic_cells_release_rate_T_ref</t>
  </si>
  <si>
    <t>surfacic_cells_release_rate_A</t>
  </si>
  <si>
    <t>surfacic_cells_release_rate_B</t>
  </si>
  <si>
    <t>surfacic_cells_release_rate_C</t>
  </si>
  <si>
    <t>C_cells_soil_max</t>
  </si>
  <si>
    <t>hexose_degradation_rate_max</t>
  </si>
  <si>
    <t>hexose_degradation_rate_max_T_ref</t>
  </si>
  <si>
    <t>hexose_degradation_rate_max_A</t>
  </si>
  <si>
    <t>hexose_degradation_rate_max_B</t>
  </si>
  <si>
    <t>hexose_degradation_rate_max_C</t>
  </si>
  <si>
    <t>Km_hexose_degradation</t>
  </si>
  <si>
    <t>mucilage_degradation_rate_max</t>
  </si>
  <si>
    <t>mucilage_degradation_rate_max_T_ref</t>
  </si>
  <si>
    <t>mucilage_degradation_rate_max_A</t>
  </si>
  <si>
    <t>mucilage_degradation_rate_max_B</t>
  </si>
  <si>
    <t>mucilage_degradation_rate_max_C</t>
  </si>
  <si>
    <t>Km_mucilage_degradation</t>
  </si>
  <si>
    <t>cells_degradation_rate_max</t>
  </si>
  <si>
    <t>cells_degradation_rate_max_T_ref</t>
  </si>
  <si>
    <t>cells_degradation_rate_max_A</t>
  </si>
  <si>
    <t>cells_degradation_rate_max_B</t>
  </si>
  <si>
    <t>cells_degradation_rate_max_C</t>
  </si>
  <si>
    <t>Km_cells_degradation</t>
  </si>
  <si>
    <t>List from 'updated_parameters.csv'</t>
  </si>
  <si>
    <t>List from 'scenario_as_columns' sheet</t>
  </si>
  <si>
    <t>Missing parameters in 'scenario_as_columns' sheet</t>
  </si>
  <si>
    <t>Plant_genotype</t>
  </si>
  <si>
    <t>Reference_value</t>
  </si>
  <si>
    <t>Input</t>
  </si>
  <si>
    <t>Input_type</t>
  </si>
  <si>
    <t>parameter</t>
  </si>
  <si>
    <t>sucrose_input_rate</t>
  </si>
  <si>
    <t>Name of the file containing the sucrose inputs at collar</t>
  </si>
  <si>
    <t>mol.s-1</t>
  </si>
  <si>
    <t>None</t>
  </si>
  <si>
    <t>Name of the file containing the cytokinins exports at collar</t>
  </si>
  <si>
    <t>UA.s-1</t>
  </si>
  <si>
    <t>inputs_CN_Wheat_Ljutovac_2003.csv</t>
  </si>
  <si>
    <t>cytokinins_root_shoot_xylem</t>
  </si>
  <si>
    <t>Dedicated_to</t>
  </si>
  <si>
    <t>Organ_label</t>
  </si>
  <si>
    <t>soil_temperature</t>
  </si>
  <si>
    <t>Input file containing soil temperature evolution over time for the soil model</t>
  </si>
  <si>
    <t>°C</t>
  </si>
  <si>
    <t>meteo_Ljutovac2002.csv</t>
  </si>
  <si>
    <t>mol.m-3</t>
  </si>
  <si>
    <t>patch_depth_mineralN</t>
  </si>
  <si>
    <t>patch_uniform_width_mineralN</t>
  </si>
  <si>
    <t>patch_transition_mineralN</t>
  </si>
  <si>
    <t>m</t>
  </si>
  <si>
    <t>Mineral nitrogen concentration in a located patch in soil</t>
  </si>
  <si>
    <t>Depth of a nitrate patch in soil</t>
  </si>
  <si>
    <t>Width of the zone of the patch with uniform concentration of nitrate</t>
  </si>
  <si>
    <t>Variance of the normal law smooting the boundary transition of a nitrate patch with the background concentration</t>
  </si>
  <si>
    <t>span_N_regulation</t>
  </si>
  <si>
    <t>Variation range of concentration during which Km changes occur</t>
  </si>
  <si>
    <t>mol.g-1</t>
  </si>
  <si>
    <t>root_mtg_file</t>
  </si>
  <si>
    <t>input_mtg</t>
  </si>
  <si>
    <t>Name of the root MTG file to be loaded (if the option above has been declared True)</t>
  </si>
  <si>
    <t>no unit</t>
  </si>
  <si>
    <t>root_1080.pckl</t>
  </si>
  <si>
    <t>roots</t>
  </si>
  <si>
    <t>diffusion_soil</t>
  </si>
  <si>
    <t>diffusion_phloem</t>
  </si>
  <si>
    <t>vmax_Nm_xylem</t>
  </si>
  <si>
    <t>water_moisture_patch</t>
  </si>
  <si>
    <t>patch_depth_water_moisture</t>
  </si>
  <si>
    <t>patch_uniform_width_water_moisture</t>
  </si>
  <si>
    <t>patch_transition_water_moisture</t>
  </si>
  <si>
    <t>smax_AA</t>
  </si>
  <si>
    <t>Diffusion paramenter for exchanges between cortex symplasm and soil solution</t>
  </si>
  <si>
    <t>g.s-1.m-2</t>
  </si>
  <si>
    <t>Diffusion paramenter for exchanges between phloem symplasm and cortex symplasm</t>
  </si>
  <si>
    <t>Diffusion paramenter for exchanges between xylem apoplasm and cortex symplasm</t>
  </si>
  <si>
    <t>g.s-1.m-3</t>
  </si>
  <si>
    <t>Vmax parameter for mineral nitrogen xylem loading</t>
  </si>
  <si>
    <t>mol.s-1.m-2</t>
  </si>
  <si>
    <t>water moisture in a located patch in soil</t>
  </si>
  <si>
    <t>Depth of a water moisture patch in soil</t>
  </si>
  <si>
    <t>Width of the zone of the patch with uniform water moisture</t>
  </si>
  <si>
    <t>Variance of the normal law smooting the boundary transition of a moisture patch with the background concentration</t>
  </si>
  <si>
    <t>Maximal rate of amino acid synthesis in the root segment</t>
  </si>
  <si>
    <t>dissolved_mineral_N</t>
  </si>
  <si>
    <t>Intitialization soil nitrate content</t>
  </si>
  <si>
    <t>g.g-1</t>
  </si>
  <si>
    <t>soil_moisture</t>
  </si>
  <si>
    <t>initialization soil water content</t>
  </si>
  <si>
    <t>m3.m-3</t>
  </si>
  <si>
    <t>dissolved_mineral_N_patch</t>
  </si>
  <si>
    <t>DOC</t>
  </si>
  <si>
    <t>DON</t>
  </si>
  <si>
    <t>RC_ref</t>
  </si>
  <si>
    <t>vmax_unloading_AA_phloem</t>
  </si>
  <si>
    <t>km_unloading_AA_phloem</t>
  </si>
  <si>
    <t>Affinity parameter for amino acid loading into symplasm from phloem</t>
  </si>
  <si>
    <t>Km_Nm_xylem</t>
  </si>
  <si>
    <t>Km parameter for mineral nitrogen xylem loading</t>
  </si>
  <si>
    <t>vmax_AA_xylem</t>
  </si>
  <si>
    <t>Vmax parameter for amino acids xylem loading</t>
  </si>
  <si>
    <t>cmax_AA</t>
  </si>
  <si>
    <t>Maximal rate of amino acid catabolism in the root segment</t>
  </si>
  <si>
    <t>RC_ref_5</t>
  </si>
  <si>
    <t>RC_ref_50</t>
  </si>
  <si>
    <t>root00322.pckl</t>
  </si>
  <si>
    <t>root_cynaps</t>
  </si>
  <si>
    <t>soil_model</t>
  </si>
  <si>
    <t>soil</t>
  </si>
  <si>
    <t>RC_ref_10</t>
  </si>
  <si>
    <t>RC_ref_15</t>
  </si>
  <si>
    <t>RC_ref_20</t>
  </si>
  <si>
    <t>RC_ref_25</t>
  </si>
  <si>
    <t>RC_ref_30</t>
  </si>
  <si>
    <t>RC_ref_35</t>
  </si>
  <si>
    <t>RC_ref_40</t>
  </si>
  <si>
    <t>RC_ref_45</t>
  </si>
  <si>
    <t>RC_ref_55</t>
  </si>
  <si>
    <t>RC_ref_60</t>
  </si>
  <si>
    <t>root00604.pckl</t>
  </si>
  <si>
    <t>root00897.pckl</t>
  </si>
  <si>
    <t>root01178.pckl</t>
  </si>
  <si>
    <t>root01394.pckl</t>
  </si>
  <si>
    <t>root01550.pckl</t>
  </si>
  <si>
    <t>root01707.pckl</t>
  </si>
  <si>
    <t>root01875.pckl</t>
  </si>
  <si>
    <t>root02037.pckl</t>
  </si>
  <si>
    <t>root02188.pckl</t>
  </si>
  <si>
    <t>root02340.pckl</t>
  </si>
  <si>
    <t>root02494.pckl</t>
  </si>
  <si>
    <t>Cv_AA_phloem_collar</t>
  </si>
  <si>
    <t>Enforced amino acids volumic concentration at the shoot-root junction</t>
  </si>
  <si>
    <t>permeability_phloem_AA</t>
  </si>
  <si>
    <t>diffusion_xylem_Nm_P</t>
  </si>
  <si>
    <t>diffusion_xylem_AA_P</t>
  </si>
  <si>
    <t>Option to enforce the axial diffusivity of solutes in phloem at the shoot-root junction</t>
  </si>
  <si>
    <t>mass_wise_phloem_wiring</t>
  </si>
  <si>
    <t>True</t>
  </si>
  <si>
    <t>False</t>
  </si>
  <si>
    <t>reference_rate_of_AA_consumption_by_growth</t>
  </si>
  <si>
    <t>Reference rate of amino acids for growth (used to proportionnally increase the permeability of phloem according to the actual rate of amino_acid consumption)</t>
  </si>
  <si>
    <t>Real number / mol of amino acids per second</t>
  </si>
  <si>
    <t>diffusion_apoplasm</t>
  </si>
  <si>
    <t>Diffusion paramenter for exchanges between xylem apoplasm and soil solution</t>
  </si>
  <si>
    <t>increased_wall_resistance_factor</t>
  </si>
  <si>
    <t>dimensionless</t>
  </si>
  <si>
    <t>stele wall resistance increase factor to avoid overestimation of xylem-phloem conductance</t>
  </si>
  <si>
    <t>max_loading_rate</t>
  </si>
  <si>
    <t>Reference temperature for setting the temperature-dependence of phloem loading</t>
  </si>
  <si>
    <t>Real number / degree Celsius</t>
  </si>
  <si>
    <t>Affinity constant (in terms of Michaelis-Menten formalism) for phloem loading, corresponding to the concentration for which the rate is equal to half of the maximal rate</t>
  </si>
  <si>
    <t>Real number / mol of hexose per gram of root dry structural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</si>
</sst>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8" fillId="34" borderId="10" xfId="0" applyFont="1" applyFill="1" applyBorder="1"/>
    <xf numFmtId="0" fontId="0" fillId="33" borderId="10" xfId="0" applyFill="1" applyBorder="1"/>
    <xf numFmtId="0" fontId="0" fillId="35" borderId="10" xfId="0" applyFill="1" applyBorder="1"/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33" borderId="10" xfId="0" applyFill="1" applyBorder="1" applyAlignment="1">
      <alignment horizontal="left"/>
    </xf>
    <xf numFmtId="11" fontId="16" fillId="36" borderId="10" xfId="0" applyNumberFormat="1" applyFont="1" applyFill="1" applyBorder="1" applyAlignment="1">
      <alignment horizontal="left" vertical="center"/>
    </xf>
    <xf numFmtId="0" fontId="18" fillId="34" borderId="11" xfId="0" applyFont="1" applyFill="1" applyBorder="1"/>
    <xf numFmtId="0" fontId="0" fillId="0" borderId="10" xfId="0" applyBorder="1"/>
    <xf numFmtId="0" fontId="16" fillId="0" borderId="0" xfId="0" applyFont="1" applyAlignment="1">
      <alignment horizontal="left" vertical="center" wrapText="1"/>
    </xf>
    <xf numFmtId="11" fontId="0" fillId="0" borderId="10" xfId="0" applyNumberFormat="1" applyBorder="1" applyAlignment="1">
      <alignment horizontal="left"/>
    </xf>
    <xf numFmtId="11" fontId="16" fillId="0" borderId="10" xfId="0" applyNumberFormat="1" applyFont="1" applyBorder="1"/>
    <xf numFmtId="0" fontId="0" fillId="0" borderId="10" xfId="0" applyBorder="1" applyAlignment="1">
      <alignment horizontal="left"/>
    </xf>
    <xf numFmtId="11" fontId="16" fillId="0" borderId="10" xfId="0" applyNumberFormat="1" applyFont="1" applyBorder="1" applyAlignment="1">
      <alignment horizontal="left" vertical="center" wrapText="1"/>
    </xf>
    <xf numFmtId="11" fontId="19" fillId="0" borderId="10" xfId="0" applyNumberFormat="1" applyFont="1" applyBorder="1" applyAlignment="1">
      <alignment horizontal="center"/>
    </xf>
    <xf numFmtId="49" fontId="0" fillId="0" borderId="10" xfId="0" applyNumberFormat="1" applyBorder="1" applyAlignment="1">
      <alignment horizontal="left"/>
    </xf>
    <xf numFmtId="11" fontId="0" fillId="0" borderId="10" xfId="0" applyNumberFormat="1" applyBorder="1" applyAlignment="1">
      <alignment horizontal="left" vertical="center"/>
    </xf>
    <xf numFmtId="0" fontId="16" fillId="0" borderId="0" xfId="0" applyNumberFormat="1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0"/>
  <sheetViews>
    <sheetView tabSelected="1" zoomScale="89" workbookViewId="0">
      <pane xSplit="1" ySplit="1" topLeftCell="F4" activePane="bottomRight" state="frozen"/>
      <selection pane="topRight" activeCell="B1" sqref="B1"/>
      <selection pane="bottomLeft" activeCell="A2" sqref="A2"/>
      <selection pane="bottomRight" activeCell="J39" sqref="J39"/>
    </sheetView>
  </sheetViews>
  <sheetFormatPr baseColWidth="10" defaultColWidth="11.42578125" defaultRowHeight="15" x14ac:dyDescent="0.25"/>
  <cols>
    <col min="1" max="1" width="32.7109375" style="1" customWidth="1"/>
    <col min="2" max="4" width="15" style="1" customWidth="1"/>
    <col min="5" max="5" width="23.28515625" customWidth="1"/>
    <col min="6" max="6" width="22.7109375" customWidth="1"/>
    <col min="7" max="7" width="19.5703125" style="8" customWidth="1"/>
    <col min="8" max="20" width="39.85546875" style="1" customWidth="1"/>
  </cols>
  <sheetData>
    <row r="1" spans="1:20" s="1" customFormat="1" x14ac:dyDescent="0.25">
      <c r="A1" s="2" t="s">
        <v>175</v>
      </c>
      <c r="B1" s="2" t="s">
        <v>176</v>
      </c>
      <c r="C1" s="2" t="s">
        <v>186</v>
      </c>
      <c r="D1" s="2" t="s">
        <v>187</v>
      </c>
      <c r="E1" s="2" t="s">
        <v>89</v>
      </c>
      <c r="F1" s="2" t="s">
        <v>88</v>
      </c>
      <c r="G1" s="6" t="s">
        <v>174</v>
      </c>
      <c r="H1" s="13" t="s">
        <v>239</v>
      </c>
      <c r="I1" s="13" t="s">
        <v>249</v>
      </c>
      <c r="J1" s="13" t="s">
        <v>255</v>
      </c>
      <c r="K1" s="13" t="s">
        <v>256</v>
      </c>
      <c r="L1" s="13" t="s">
        <v>257</v>
      </c>
      <c r="M1" s="13" t="s">
        <v>258</v>
      </c>
      <c r="N1" s="13" t="s">
        <v>259</v>
      </c>
      <c r="O1" s="13" t="s">
        <v>260</v>
      </c>
      <c r="P1" s="13" t="s">
        <v>261</v>
      </c>
      <c r="Q1" s="13" t="s">
        <v>262</v>
      </c>
      <c r="R1" s="13" t="s">
        <v>250</v>
      </c>
      <c r="S1" s="13" t="s">
        <v>263</v>
      </c>
      <c r="T1" s="13" t="s">
        <v>264</v>
      </c>
    </row>
    <row r="2" spans="1:20" s="1" customFormat="1" x14ac:dyDescent="0.25">
      <c r="A2" s="2" t="s">
        <v>204</v>
      </c>
      <c r="B2" s="2" t="s">
        <v>205</v>
      </c>
      <c r="C2" s="2" t="s">
        <v>252</v>
      </c>
      <c r="D2" s="2" t="s">
        <v>209</v>
      </c>
      <c r="E2" s="12" t="s">
        <v>206</v>
      </c>
      <c r="F2" s="12" t="s">
        <v>207</v>
      </c>
      <c r="G2" s="6" t="s">
        <v>208</v>
      </c>
      <c r="H2" s="7" t="s">
        <v>181</v>
      </c>
      <c r="I2" s="7" t="s">
        <v>251</v>
      </c>
      <c r="J2" s="7" t="s">
        <v>265</v>
      </c>
      <c r="K2" s="7" t="s">
        <v>266</v>
      </c>
      <c r="L2" s="7" t="s">
        <v>267</v>
      </c>
      <c r="M2" s="7" t="s">
        <v>268</v>
      </c>
      <c r="N2" s="7" t="s">
        <v>269</v>
      </c>
      <c r="O2" s="7" t="s">
        <v>270</v>
      </c>
      <c r="P2" s="7" t="s">
        <v>271</v>
      </c>
      <c r="Q2" s="7" t="s">
        <v>272</v>
      </c>
      <c r="R2" s="7" t="s">
        <v>273</v>
      </c>
      <c r="S2" s="7" t="s">
        <v>274</v>
      </c>
      <c r="T2" s="7" t="s">
        <v>275</v>
      </c>
    </row>
    <row r="3" spans="1:20" s="1" customFormat="1" ht="38.450000000000003" customHeight="1" x14ac:dyDescent="0.25">
      <c r="A3" s="2" t="s">
        <v>178</v>
      </c>
      <c r="B3" s="11" t="s">
        <v>177</v>
      </c>
      <c r="C3" s="2" t="s">
        <v>252</v>
      </c>
      <c r="D3" s="2" t="s">
        <v>209</v>
      </c>
      <c r="E3" s="4" t="s">
        <v>182</v>
      </c>
      <c r="F3" s="4" t="s">
        <v>180</v>
      </c>
      <c r="G3" s="9" t="s">
        <v>86</v>
      </c>
      <c r="H3" s="17">
        <v>1.0000000000000001E-9</v>
      </c>
      <c r="I3" s="18">
        <f>6.417000259344E-08/3600</f>
        <v>1.78250007204E-11</v>
      </c>
      <c r="J3" s="18">
        <f>4.504500274824E-08/3600</f>
        <v>1.2512500763399999E-11</v>
      </c>
      <c r="K3" s="18">
        <f>6.26400201772801E-08/3600</f>
        <v>1.7400005604800025E-11</v>
      </c>
      <c r="L3" s="18">
        <f>0.0000001715700135192/3600</f>
        <v>4.7658337088666669E-11</v>
      </c>
      <c r="M3" s="18">
        <f>0.0000005947500532344/3600</f>
        <v>1.6520834812066667E-10</v>
      </c>
      <c r="N3" s="18">
        <f>0.0000014904001011456/3600</f>
        <v>4.1400002809600001E-10</v>
      </c>
      <c r="O3" s="18">
        <f>0.000002756700138744/3600</f>
        <v>7.6575003854E-10</v>
      </c>
      <c r="P3" s="18">
        <f>0.00000411600012288/3600</f>
        <v>1.1433333674666667E-9</v>
      </c>
      <c r="Q3" s="18">
        <f>0.000004950000112896/3600</f>
        <v>1.3750000313600002E-9</v>
      </c>
      <c r="R3" s="18">
        <f>5.14350001490399E-06/3600</f>
        <v>1.4287500041399972E-9</v>
      </c>
      <c r="S3" s="18">
        <f>4.82699998247999E-06/3600</f>
        <v>1.3408333284666637E-9</v>
      </c>
      <c r="T3" s="18">
        <f>4.18949994376799E-06/3600</f>
        <v>1.1637499843799972E-9</v>
      </c>
    </row>
    <row r="4" spans="1:20" s="1" customFormat="1" ht="15" customHeight="1" x14ac:dyDescent="0.25">
      <c r="A4" s="2" t="s">
        <v>185</v>
      </c>
      <c r="B4" s="11" t="s">
        <v>177</v>
      </c>
      <c r="C4" s="2" t="s">
        <v>252</v>
      </c>
      <c r="D4" s="2" t="s">
        <v>209</v>
      </c>
      <c r="E4" s="4" t="s">
        <v>179</v>
      </c>
      <c r="F4" s="4" t="s">
        <v>183</v>
      </c>
      <c r="G4" s="9" t="s">
        <v>184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</row>
    <row r="5" spans="1:20" s="1" customFormat="1" ht="39.6" customHeight="1" x14ac:dyDescent="0.25">
      <c r="A5" s="2" t="s">
        <v>188</v>
      </c>
      <c r="B5" s="11" t="s">
        <v>177</v>
      </c>
      <c r="C5" s="2" t="s">
        <v>253</v>
      </c>
      <c r="D5" s="3" t="s">
        <v>254</v>
      </c>
      <c r="E5" s="4" t="s">
        <v>189</v>
      </c>
      <c r="F5" s="4" t="s">
        <v>190</v>
      </c>
      <c r="G5" s="9" t="s">
        <v>191</v>
      </c>
      <c r="H5" s="7">
        <v>20</v>
      </c>
      <c r="I5" s="7">
        <v>20</v>
      </c>
      <c r="J5" s="7">
        <v>20</v>
      </c>
      <c r="K5" s="7">
        <v>20</v>
      </c>
      <c r="L5" s="7">
        <v>20</v>
      </c>
      <c r="M5" s="7">
        <v>20</v>
      </c>
      <c r="N5" s="7">
        <v>20</v>
      </c>
      <c r="O5" s="7">
        <v>20</v>
      </c>
      <c r="P5" s="7">
        <v>20</v>
      </c>
      <c r="Q5" s="7">
        <v>20</v>
      </c>
      <c r="R5" s="7">
        <v>20</v>
      </c>
      <c r="S5" s="7">
        <v>20</v>
      </c>
      <c r="T5" s="7">
        <v>20</v>
      </c>
    </row>
    <row r="6" spans="1:20" x14ac:dyDescent="0.25">
      <c r="A6" s="2" t="s">
        <v>230</v>
      </c>
      <c r="B6" s="3" t="s">
        <v>177</v>
      </c>
      <c r="C6" s="2" t="s">
        <v>253</v>
      </c>
      <c r="D6" s="3" t="s">
        <v>254</v>
      </c>
      <c r="E6" s="5" t="s">
        <v>231</v>
      </c>
      <c r="F6" s="5" t="s">
        <v>232</v>
      </c>
      <c r="G6" s="2">
        <v>0.5</v>
      </c>
      <c r="H6" s="10">
        <f t="shared" ref="H6:T6" si="0">0.00005 / 100</f>
        <v>4.9999999999999998E-7</v>
      </c>
      <c r="I6" s="10">
        <f t="shared" si="0"/>
        <v>4.9999999999999998E-7</v>
      </c>
      <c r="J6" s="10">
        <f t="shared" si="0"/>
        <v>4.9999999999999998E-7</v>
      </c>
      <c r="K6" s="10">
        <f t="shared" si="0"/>
        <v>4.9999999999999998E-7</v>
      </c>
      <c r="L6" s="10">
        <f t="shared" si="0"/>
        <v>4.9999999999999998E-7</v>
      </c>
      <c r="M6" s="10">
        <f t="shared" si="0"/>
        <v>4.9999999999999998E-7</v>
      </c>
      <c r="N6" s="10">
        <f t="shared" si="0"/>
        <v>4.9999999999999998E-7</v>
      </c>
      <c r="O6" s="10">
        <f t="shared" si="0"/>
        <v>4.9999999999999998E-7</v>
      </c>
      <c r="P6" s="10">
        <f t="shared" si="0"/>
        <v>4.9999999999999998E-7</v>
      </c>
      <c r="Q6" s="10">
        <f t="shared" si="0"/>
        <v>4.9999999999999998E-7</v>
      </c>
      <c r="R6" s="10">
        <f t="shared" si="0"/>
        <v>4.9999999999999998E-7</v>
      </c>
      <c r="S6" s="10">
        <f t="shared" si="0"/>
        <v>4.9999999999999998E-7</v>
      </c>
      <c r="T6" s="10">
        <f t="shared" si="0"/>
        <v>4.9999999999999998E-7</v>
      </c>
    </row>
    <row r="7" spans="1:20" x14ac:dyDescent="0.25">
      <c r="A7" s="2" t="s">
        <v>233</v>
      </c>
      <c r="B7" s="3" t="s">
        <v>177</v>
      </c>
      <c r="C7" s="2" t="s">
        <v>253</v>
      </c>
      <c r="D7" s="3" t="s">
        <v>254</v>
      </c>
      <c r="E7" s="5" t="s">
        <v>234</v>
      </c>
      <c r="F7" s="5" t="s">
        <v>235</v>
      </c>
      <c r="G7" s="14">
        <v>-100000</v>
      </c>
      <c r="H7" s="10">
        <v>0.3</v>
      </c>
      <c r="I7" s="10">
        <v>0.3</v>
      </c>
      <c r="J7" s="10">
        <v>0.3</v>
      </c>
      <c r="K7" s="10">
        <v>0.3</v>
      </c>
      <c r="L7" s="10">
        <v>0.3</v>
      </c>
      <c r="M7" s="10">
        <v>0.3</v>
      </c>
      <c r="N7" s="10">
        <v>0.3</v>
      </c>
      <c r="O7" s="10">
        <v>0.3</v>
      </c>
      <c r="P7" s="10">
        <v>0.3</v>
      </c>
      <c r="Q7" s="10">
        <v>0.3</v>
      </c>
      <c r="R7" s="10">
        <v>0.3</v>
      </c>
      <c r="S7" s="10">
        <v>0.3</v>
      </c>
      <c r="T7" s="10">
        <v>0.3</v>
      </c>
    </row>
    <row r="8" spans="1:20" x14ac:dyDescent="0.25">
      <c r="A8" s="2" t="s">
        <v>236</v>
      </c>
      <c r="B8" s="3" t="s">
        <v>177</v>
      </c>
      <c r="C8" s="2" t="s">
        <v>253</v>
      </c>
      <c r="D8" s="3" t="s">
        <v>254</v>
      </c>
      <c r="E8" s="12" t="s">
        <v>197</v>
      </c>
      <c r="F8" s="12" t="s">
        <v>192</v>
      </c>
      <c r="G8" s="16">
        <v>0.5</v>
      </c>
      <c r="H8" s="10">
        <f t="shared" ref="H8:T8" si="1">0.00002 / 14</f>
        <v>1.4285714285714286E-6</v>
      </c>
      <c r="I8" s="10">
        <f t="shared" si="1"/>
        <v>1.4285714285714286E-6</v>
      </c>
      <c r="J8" s="10">
        <f t="shared" si="1"/>
        <v>1.4285714285714286E-6</v>
      </c>
      <c r="K8" s="10">
        <f t="shared" si="1"/>
        <v>1.4285714285714286E-6</v>
      </c>
      <c r="L8" s="10">
        <f t="shared" si="1"/>
        <v>1.4285714285714286E-6</v>
      </c>
      <c r="M8" s="10">
        <f t="shared" si="1"/>
        <v>1.4285714285714286E-6</v>
      </c>
      <c r="N8" s="10">
        <f t="shared" si="1"/>
        <v>1.4285714285714286E-6</v>
      </c>
      <c r="O8" s="10">
        <f t="shared" si="1"/>
        <v>1.4285714285714286E-6</v>
      </c>
      <c r="P8" s="10">
        <f t="shared" si="1"/>
        <v>1.4285714285714286E-6</v>
      </c>
      <c r="Q8" s="10">
        <f t="shared" si="1"/>
        <v>1.4285714285714286E-6</v>
      </c>
      <c r="R8" s="10">
        <f t="shared" si="1"/>
        <v>1.4285714285714286E-6</v>
      </c>
      <c r="S8" s="10">
        <f t="shared" si="1"/>
        <v>1.4285714285714286E-6</v>
      </c>
      <c r="T8" s="10">
        <f t="shared" si="1"/>
        <v>1.4285714285714286E-6</v>
      </c>
    </row>
    <row r="9" spans="1:20" x14ac:dyDescent="0.25">
      <c r="A9" s="2" t="s">
        <v>193</v>
      </c>
      <c r="B9" s="3" t="s">
        <v>177</v>
      </c>
      <c r="C9" s="2" t="s">
        <v>253</v>
      </c>
      <c r="D9" s="3" t="s">
        <v>254</v>
      </c>
      <c r="E9" s="12" t="s">
        <v>198</v>
      </c>
      <c r="F9" s="12" t="s">
        <v>196</v>
      </c>
      <c r="G9" s="16" t="s">
        <v>181</v>
      </c>
      <c r="H9" s="10" t="s">
        <v>181</v>
      </c>
      <c r="I9" s="10" t="s">
        <v>181</v>
      </c>
      <c r="J9" s="10" t="s">
        <v>181</v>
      </c>
      <c r="K9" s="10" t="s">
        <v>181</v>
      </c>
      <c r="L9" s="10" t="s">
        <v>181</v>
      </c>
      <c r="M9" s="10" t="s">
        <v>181</v>
      </c>
      <c r="N9" s="10" t="s">
        <v>181</v>
      </c>
      <c r="O9" s="10" t="s">
        <v>181</v>
      </c>
      <c r="P9" s="10" t="s">
        <v>181</v>
      </c>
      <c r="Q9" s="10" t="s">
        <v>181</v>
      </c>
      <c r="R9" s="10" t="s">
        <v>181</v>
      </c>
      <c r="S9" s="10" t="s">
        <v>181</v>
      </c>
      <c r="T9" s="10" t="s">
        <v>181</v>
      </c>
    </row>
    <row r="10" spans="1:20" x14ac:dyDescent="0.25">
      <c r="A10" s="2" t="s">
        <v>194</v>
      </c>
      <c r="B10" s="3" t="s">
        <v>177</v>
      </c>
      <c r="C10" s="2" t="s">
        <v>253</v>
      </c>
      <c r="D10" s="3" t="s">
        <v>254</v>
      </c>
      <c r="E10" s="12" t="s">
        <v>199</v>
      </c>
      <c r="F10" s="12" t="s">
        <v>196</v>
      </c>
      <c r="G10" s="16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</row>
    <row r="11" spans="1:20" x14ac:dyDescent="0.25">
      <c r="A11" s="2" t="s">
        <v>195</v>
      </c>
      <c r="B11" s="3" t="s">
        <v>177</v>
      </c>
      <c r="C11" s="2" t="s">
        <v>253</v>
      </c>
      <c r="D11" s="3" t="s">
        <v>254</v>
      </c>
      <c r="E11" s="12" t="s">
        <v>200</v>
      </c>
      <c r="F11" s="12" t="s">
        <v>196</v>
      </c>
      <c r="G11" s="16">
        <v>1E-3</v>
      </c>
      <c r="H11" s="10">
        <v>1E-3</v>
      </c>
      <c r="I11" s="10">
        <v>1E-3</v>
      </c>
      <c r="J11" s="10">
        <v>1E-3</v>
      </c>
      <c r="K11" s="10">
        <v>1E-3</v>
      </c>
      <c r="L11" s="10">
        <v>1E-3</v>
      </c>
      <c r="M11" s="10">
        <v>1E-3</v>
      </c>
      <c r="N11" s="10">
        <v>1E-3</v>
      </c>
      <c r="O11" s="10">
        <v>1E-3</v>
      </c>
      <c r="P11" s="10">
        <v>1E-3</v>
      </c>
      <c r="Q11" s="10">
        <v>1E-3</v>
      </c>
      <c r="R11" s="10">
        <v>1E-3</v>
      </c>
      <c r="S11" s="10">
        <v>1E-3</v>
      </c>
      <c r="T11" s="10">
        <v>1E-3</v>
      </c>
    </row>
    <row r="12" spans="1:20" x14ac:dyDescent="0.25">
      <c r="A12" s="2" t="s">
        <v>201</v>
      </c>
      <c r="B12" s="3" t="s">
        <v>177</v>
      </c>
      <c r="C12" s="2" t="s">
        <v>252</v>
      </c>
      <c r="D12" s="2" t="s">
        <v>209</v>
      </c>
      <c r="E12" s="12" t="s">
        <v>202</v>
      </c>
      <c r="F12" s="12" t="s">
        <v>203</v>
      </c>
      <c r="G12" s="15">
        <v>2.0000000000000001E-4</v>
      </c>
      <c r="H12" s="15">
        <v>2.0000000000000001E-4</v>
      </c>
      <c r="I12" s="15">
        <v>2.0000000000000001E-4</v>
      </c>
      <c r="J12" s="15">
        <v>2.0000000000000001E-4</v>
      </c>
      <c r="K12" s="15">
        <v>2.0000000000000001E-4</v>
      </c>
      <c r="L12" s="15">
        <v>2.0000000000000001E-4</v>
      </c>
      <c r="M12" s="15">
        <v>2.0000000000000001E-4</v>
      </c>
      <c r="N12" s="15">
        <v>2.0000000000000001E-4</v>
      </c>
      <c r="O12" s="15">
        <v>2.0000000000000001E-4</v>
      </c>
      <c r="P12" s="15">
        <v>2.0000000000000001E-4</v>
      </c>
      <c r="Q12" s="15">
        <v>2.0000000000000001E-4</v>
      </c>
      <c r="R12" s="15">
        <v>2.0000000000000001E-4</v>
      </c>
      <c r="S12" s="15">
        <v>2.0000000000000001E-4</v>
      </c>
      <c r="T12" s="15">
        <v>2.0000000000000001E-4</v>
      </c>
    </row>
    <row r="13" spans="1:20" x14ac:dyDescent="0.25">
      <c r="A13" s="2" t="s">
        <v>210</v>
      </c>
      <c r="B13" s="3" t="s">
        <v>177</v>
      </c>
      <c r="C13" s="2" t="s">
        <v>252</v>
      </c>
      <c r="D13" s="2" t="s">
        <v>209</v>
      </c>
      <c r="E13" s="12" t="s">
        <v>218</v>
      </c>
      <c r="F13" s="12" t="s">
        <v>219</v>
      </c>
      <c r="G13" s="15">
        <v>2.4999999999999998E-12</v>
      </c>
      <c r="H13" s="10">
        <f t="shared" ref="H13:T13" si="2" xml:space="preserve"> 0.0000000000025*10</f>
        <v>2.4999999999999998E-11</v>
      </c>
      <c r="I13" s="10">
        <f t="shared" si="2"/>
        <v>2.4999999999999998E-11</v>
      </c>
      <c r="J13" s="10">
        <f t="shared" si="2"/>
        <v>2.4999999999999998E-11</v>
      </c>
      <c r="K13" s="10">
        <f t="shared" si="2"/>
        <v>2.4999999999999998E-11</v>
      </c>
      <c r="L13" s="10">
        <f t="shared" si="2"/>
        <v>2.4999999999999998E-11</v>
      </c>
      <c r="M13" s="10">
        <f t="shared" si="2"/>
        <v>2.4999999999999998E-11</v>
      </c>
      <c r="N13" s="10">
        <f t="shared" si="2"/>
        <v>2.4999999999999998E-11</v>
      </c>
      <c r="O13" s="10">
        <f t="shared" si="2"/>
        <v>2.4999999999999998E-11</v>
      </c>
      <c r="P13" s="10">
        <f t="shared" si="2"/>
        <v>2.4999999999999998E-11</v>
      </c>
      <c r="Q13" s="10">
        <f t="shared" si="2"/>
        <v>2.4999999999999998E-11</v>
      </c>
      <c r="R13" s="10">
        <f t="shared" si="2"/>
        <v>2.4999999999999998E-11</v>
      </c>
      <c r="S13" s="10">
        <f t="shared" si="2"/>
        <v>2.4999999999999998E-11</v>
      </c>
      <c r="T13" s="10">
        <f t="shared" si="2"/>
        <v>2.4999999999999998E-11</v>
      </c>
    </row>
    <row r="14" spans="1:20" x14ac:dyDescent="0.25">
      <c r="A14" s="2" t="s">
        <v>288</v>
      </c>
      <c r="B14" s="3" t="s">
        <v>177</v>
      </c>
      <c r="C14" s="2" t="s">
        <v>252</v>
      </c>
      <c r="D14" s="2" t="s">
        <v>209</v>
      </c>
      <c r="E14" s="12" t="s">
        <v>289</v>
      </c>
      <c r="F14" s="12" t="s">
        <v>219</v>
      </c>
      <c r="G14" s="10">
        <v>1E-14</v>
      </c>
      <c r="H14" s="10">
        <v>4.9999999999999999E-13</v>
      </c>
      <c r="I14" s="10">
        <v>4.9999999999999999E-13</v>
      </c>
      <c r="J14" s="10">
        <v>4.9999999999999999E-13</v>
      </c>
      <c r="K14" s="10">
        <v>4.9999999999999999E-13</v>
      </c>
      <c r="L14" s="10">
        <v>4.9999999999999999E-13</v>
      </c>
      <c r="M14" s="10">
        <v>4.9999999999999999E-13</v>
      </c>
      <c r="N14" s="10">
        <v>4.9999999999999999E-13</v>
      </c>
      <c r="O14" s="10">
        <v>4.9999999999999999E-13</v>
      </c>
      <c r="P14" s="10">
        <v>4.9999999999999999E-13</v>
      </c>
      <c r="Q14" s="10">
        <v>4.9999999999999999E-13</v>
      </c>
      <c r="R14" s="10">
        <v>4.9999999999999999E-13</v>
      </c>
      <c r="S14" s="10">
        <v>4.9999999999999999E-13</v>
      </c>
      <c r="T14" s="10">
        <v>4.9999999999999999E-13</v>
      </c>
    </row>
    <row r="15" spans="1:20" x14ac:dyDescent="0.25">
      <c r="A15" s="2" t="s">
        <v>211</v>
      </c>
      <c r="B15" s="3" t="s">
        <v>177</v>
      </c>
      <c r="C15" s="2" t="s">
        <v>252</v>
      </c>
      <c r="D15" s="2" t="s">
        <v>209</v>
      </c>
      <c r="E15" s="12" t="s">
        <v>220</v>
      </c>
      <c r="F15" s="12" t="s">
        <v>219</v>
      </c>
      <c r="G15" s="15">
        <v>1.2E-8</v>
      </c>
      <c r="H15" s="10">
        <f>0.00000000005 *2</f>
        <v>1E-10</v>
      </c>
      <c r="I15" s="10">
        <f t="shared" ref="I15:T15" si="3">0.00000000005 *2</f>
        <v>1E-10</v>
      </c>
      <c r="J15" s="10">
        <f t="shared" si="3"/>
        <v>1E-10</v>
      </c>
      <c r="K15" s="10">
        <f t="shared" si="3"/>
        <v>1E-10</v>
      </c>
      <c r="L15" s="10">
        <f t="shared" si="3"/>
        <v>1E-10</v>
      </c>
      <c r="M15" s="10">
        <f t="shared" si="3"/>
        <v>1E-10</v>
      </c>
      <c r="N15" s="10">
        <f t="shared" si="3"/>
        <v>1E-10</v>
      </c>
      <c r="O15" s="10">
        <f t="shared" si="3"/>
        <v>1E-10</v>
      </c>
      <c r="P15" s="10">
        <f t="shared" si="3"/>
        <v>1E-10</v>
      </c>
      <c r="Q15" s="10">
        <f t="shared" si="3"/>
        <v>1E-10</v>
      </c>
      <c r="R15" s="10">
        <f t="shared" si="3"/>
        <v>1E-10</v>
      </c>
      <c r="S15" s="10">
        <f t="shared" si="3"/>
        <v>1E-10</v>
      </c>
      <c r="T15" s="10">
        <f t="shared" si="3"/>
        <v>1E-10</v>
      </c>
    </row>
    <row r="16" spans="1:20" x14ac:dyDescent="0.25">
      <c r="A16" s="2" t="s">
        <v>278</v>
      </c>
      <c r="B16" s="3" t="s">
        <v>177</v>
      </c>
      <c r="C16" s="2" t="s">
        <v>252</v>
      </c>
      <c r="D16" s="2" t="s">
        <v>209</v>
      </c>
      <c r="E16" s="12" t="s">
        <v>220</v>
      </c>
      <c r="F16" s="12" t="s">
        <v>219</v>
      </c>
      <c r="G16" s="15">
        <v>1.2E-8</v>
      </c>
      <c r="H16" s="10">
        <f>H15/10/4</f>
        <v>2.5000000000000003E-12</v>
      </c>
      <c r="I16" s="10">
        <f>I15</f>
        <v>1E-10</v>
      </c>
      <c r="J16" s="10">
        <f t="shared" ref="J16:T16" si="4">J15</f>
        <v>1E-10</v>
      </c>
      <c r="K16" s="10">
        <f t="shared" si="4"/>
        <v>1E-10</v>
      </c>
      <c r="L16" s="10">
        <f t="shared" si="4"/>
        <v>1E-10</v>
      </c>
      <c r="M16" s="10">
        <f t="shared" si="4"/>
        <v>1E-10</v>
      </c>
      <c r="N16" s="10">
        <f t="shared" si="4"/>
        <v>1E-10</v>
      </c>
      <c r="O16" s="10">
        <f t="shared" si="4"/>
        <v>1E-10</v>
      </c>
      <c r="P16" s="10">
        <f t="shared" si="4"/>
        <v>1E-10</v>
      </c>
      <c r="Q16" s="10">
        <f t="shared" si="4"/>
        <v>1E-10</v>
      </c>
      <c r="R16" s="10">
        <f t="shared" si="4"/>
        <v>1E-10</v>
      </c>
      <c r="S16" s="10">
        <f t="shared" si="4"/>
        <v>1E-10</v>
      </c>
      <c r="T16" s="10">
        <f t="shared" si="4"/>
        <v>1E-10</v>
      </c>
    </row>
    <row r="17" spans="1:20" x14ac:dyDescent="0.25">
      <c r="A17" s="2" t="s">
        <v>240</v>
      </c>
      <c r="B17" s="3" t="s">
        <v>177</v>
      </c>
      <c r="C17" s="2" t="s">
        <v>252</v>
      </c>
      <c r="D17" s="2" t="s">
        <v>209</v>
      </c>
      <c r="E17" s="12" t="s">
        <v>220</v>
      </c>
      <c r="F17" s="12" t="s">
        <v>224</v>
      </c>
      <c r="G17" s="15">
        <v>9.9999999999999995E-8</v>
      </c>
      <c r="H17" s="10">
        <f>0.00000001</f>
        <v>1E-8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</row>
    <row r="18" spans="1:20" x14ac:dyDescent="0.25">
      <c r="A18" s="2" t="s">
        <v>241</v>
      </c>
      <c r="B18" s="3" t="s">
        <v>177</v>
      </c>
      <c r="C18" s="2" t="s">
        <v>252</v>
      </c>
      <c r="D18" s="2" t="s">
        <v>209</v>
      </c>
      <c r="E18" s="12" t="s">
        <v>242</v>
      </c>
      <c r="F18" s="12" t="s">
        <v>192</v>
      </c>
      <c r="G18" s="15">
        <v>100</v>
      </c>
      <c r="H18" s="10">
        <v>1000</v>
      </c>
      <c r="I18" s="10">
        <f>100</f>
        <v>100</v>
      </c>
      <c r="J18" s="10">
        <f>100</f>
        <v>100</v>
      </c>
      <c r="K18" s="10">
        <f>100</f>
        <v>100</v>
      </c>
      <c r="L18" s="10">
        <f>100</f>
        <v>100</v>
      </c>
      <c r="M18" s="10">
        <f>100</f>
        <v>100</v>
      </c>
      <c r="N18" s="10">
        <f>100</f>
        <v>100</v>
      </c>
      <c r="O18" s="10">
        <f>100</f>
        <v>100</v>
      </c>
      <c r="P18" s="10">
        <f>100</f>
        <v>100</v>
      </c>
      <c r="Q18" s="10">
        <f>100</f>
        <v>100</v>
      </c>
      <c r="R18" s="10">
        <f>100</f>
        <v>100</v>
      </c>
      <c r="S18" s="10">
        <f>100</f>
        <v>100</v>
      </c>
      <c r="T18" s="10">
        <f>100</f>
        <v>100</v>
      </c>
    </row>
    <row r="19" spans="1:20" x14ac:dyDescent="0.25">
      <c r="A19" s="2" t="s">
        <v>279</v>
      </c>
      <c r="B19" s="3" t="s">
        <v>177</v>
      </c>
      <c r="C19" s="2" t="s">
        <v>252</v>
      </c>
      <c r="D19" s="2" t="s">
        <v>209</v>
      </c>
      <c r="E19" s="12" t="s">
        <v>221</v>
      </c>
      <c r="F19" s="12" t="s">
        <v>222</v>
      </c>
      <c r="G19" s="15">
        <v>9.9999999999999995E-8</v>
      </c>
      <c r="H19" s="10">
        <f>0.000001 / 10000 / 4 / 10 /5</f>
        <v>4.9999999999999999E-13</v>
      </c>
      <c r="I19" s="10">
        <f t="shared" ref="I19:T19" si="5">0.000001 / 10000 / 4 / 10 /5</f>
        <v>4.9999999999999999E-13</v>
      </c>
      <c r="J19" s="10">
        <f t="shared" si="5"/>
        <v>4.9999999999999999E-13</v>
      </c>
      <c r="K19" s="10">
        <f t="shared" si="5"/>
        <v>4.9999999999999999E-13</v>
      </c>
      <c r="L19" s="10">
        <f t="shared" si="5"/>
        <v>4.9999999999999999E-13</v>
      </c>
      <c r="M19" s="10">
        <f t="shared" si="5"/>
        <v>4.9999999999999999E-13</v>
      </c>
      <c r="N19" s="10">
        <f t="shared" si="5"/>
        <v>4.9999999999999999E-13</v>
      </c>
      <c r="O19" s="10">
        <f t="shared" si="5"/>
        <v>4.9999999999999999E-13</v>
      </c>
      <c r="P19" s="10">
        <f t="shared" si="5"/>
        <v>4.9999999999999999E-13</v>
      </c>
      <c r="Q19" s="10">
        <f t="shared" si="5"/>
        <v>4.9999999999999999E-13</v>
      </c>
      <c r="R19" s="10">
        <f t="shared" si="5"/>
        <v>4.9999999999999999E-13</v>
      </c>
      <c r="S19" s="10">
        <f t="shared" si="5"/>
        <v>4.9999999999999999E-13</v>
      </c>
      <c r="T19" s="10">
        <f t="shared" si="5"/>
        <v>4.9999999999999999E-13</v>
      </c>
    </row>
    <row r="20" spans="1:20" x14ac:dyDescent="0.25">
      <c r="A20" s="2" t="s">
        <v>280</v>
      </c>
      <c r="B20" s="3" t="s">
        <v>177</v>
      </c>
      <c r="C20" s="2" t="s">
        <v>252</v>
      </c>
      <c r="D20" s="2" t="s">
        <v>209</v>
      </c>
      <c r="E20" s="12" t="s">
        <v>221</v>
      </c>
      <c r="F20" s="12" t="s">
        <v>222</v>
      </c>
      <c r="G20" s="15">
        <v>9.9999999999999995E-8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</row>
    <row r="21" spans="1:20" x14ac:dyDescent="0.25">
      <c r="A21" s="2" t="s">
        <v>212</v>
      </c>
      <c r="B21" s="3" t="s">
        <v>177</v>
      </c>
      <c r="C21" s="2" t="s">
        <v>252</v>
      </c>
      <c r="D21" s="2" t="s">
        <v>209</v>
      </c>
      <c r="E21" s="12" t="s">
        <v>223</v>
      </c>
      <c r="F21" s="12" t="s">
        <v>224</v>
      </c>
      <c r="G21" s="15">
        <f>2*0.00001</f>
        <v>2.0000000000000002E-5</v>
      </c>
      <c r="H21" s="10">
        <f>0.00001 / 10 / 5 / 10 * 6</f>
        <v>1.2000000000000002E-7</v>
      </c>
      <c r="I21" s="10">
        <f t="shared" ref="I21:T21" si="6">0.00001 / 10 / 5 / 10 * 6</f>
        <v>1.2000000000000002E-7</v>
      </c>
      <c r="J21" s="10">
        <f t="shared" si="6"/>
        <v>1.2000000000000002E-7</v>
      </c>
      <c r="K21" s="10">
        <f t="shared" si="6"/>
        <v>1.2000000000000002E-7</v>
      </c>
      <c r="L21" s="10">
        <f t="shared" si="6"/>
        <v>1.2000000000000002E-7</v>
      </c>
      <c r="M21" s="10">
        <f t="shared" si="6"/>
        <v>1.2000000000000002E-7</v>
      </c>
      <c r="N21" s="10">
        <f t="shared" si="6"/>
        <v>1.2000000000000002E-7</v>
      </c>
      <c r="O21" s="10">
        <f t="shared" si="6"/>
        <v>1.2000000000000002E-7</v>
      </c>
      <c r="P21" s="10">
        <f t="shared" si="6"/>
        <v>1.2000000000000002E-7</v>
      </c>
      <c r="Q21" s="10">
        <f t="shared" si="6"/>
        <v>1.2000000000000002E-7</v>
      </c>
      <c r="R21" s="10">
        <f t="shared" si="6"/>
        <v>1.2000000000000002E-7</v>
      </c>
      <c r="S21" s="10">
        <f t="shared" si="6"/>
        <v>1.2000000000000002E-7</v>
      </c>
      <c r="T21" s="10">
        <f t="shared" si="6"/>
        <v>1.2000000000000002E-7</v>
      </c>
    </row>
    <row r="22" spans="1:20" x14ac:dyDescent="0.25">
      <c r="A22" s="2" t="s">
        <v>243</v>
      </c>
      <c r="B22" s="3" t="s">
        <v>177</v>
      </c>
      <c r="C22" s="2" t="s">
        <v>252</v>
      </c>
      <c r="D22" s="2" t="s">
        <v>209</v>
      </c>
      <c r="E22" s="12" t="s">
        <v>244</v>
      </c>
      <c r="F22" s="12" t="s">
        <v>224</v>
      </c>
      <c r="G22" s="15">
        <f>2*0.00001</f>
        <v>2.0000000000000002E-5</v>
      </c>
      <c r="H22" s="10">
        <f xml:space="preserve"> 0.001</f>
        <v>1E-3</v>
      </c>
      <c r="I22" s="10">
        <f t="shared" ref="I22:T22" si="7" xml:space="preserve"> 0.001</f>
        <v>1E-3</v>
      </c>
      <c r="J22" s="10">
        <f t="shared" si="7"/>
        <v>1E-3</v>
      </c>
      <c r="K22" s="10">
        <f t="shared" si="7"/>
        <v>1E-3</v>
      </c>
      <c r="L22" s="10">
        <f t="shared" si="7"/>
        <v>1E-3</v>
      </c>
      <c r="M22" s="10">
        <f t="shared" si="7"/>
        <v>1E-3</v>
      </c>
      <c r="N22" s="10">
        <f t="shared" si="7"/>
        <v>1E-3</v>
      </c>
      <c r="O22" s="10">
        <f t="shared" si="7"/>
        <v>1E-3</v>
      </c>
      <c r="P22" s="10">
        <f t="shared" si="7"/>
        <v>1E-3</v>
      </c>
      <c r="Q22" s="10">
        <f t="shared" si="7"/>
        <v>1E-3</v>
      </c>
      <c r="R22" s="10">
        <f t="shared" si="7"/>
        <v>1E-3</v>
      </c>
      <c r="S22" s="10">
        <f t="shared" si="7"/>
        <v>1E-3</v>
      </c>
      <c r="T22" s="10">
        <f t="shared" si="7"/>
        <v>1E-3</v>
      </c>
    </row>
    <row r="23" spans="1:20" x14ac:dyDescent="0.25">
      <c r="A23" s="2" t="s">
        <v>245</v>
      </c>
      <c r="B23" s="3" t="s">
        <v>177</v>
      </c>
      <c r="C23" s="2" t="s">
        <v>252</v>
      </c>
      <c r="D23" s="2" t="s">
        <v>209</v>
      </c>
      <c r="E23" s="12" t="s">
        <v>246</v>
      </c>
      <c r="F23" s="12" t="s">
        <v>224</v>
      </c>
      <c r="G23" s="15">
        <v>1.0000000000000001E-5</v>
      </c>
      <c r="H23" s="10">
        <f>0.00001 /5 /2/4 * 4 * 0.6 * 10*2</f>
        <v>1.2000000000000002E-5</v>
      </c>
      <c r="I23" s="10">
        <f t="shared" ref="I23:T23" si="8">0.00001 /5 /2/4 * 4 * 0.6 * 10*2</f>
        <v>1.2000000000000002E-5</v>
      </c>
      <c r="J23" s="10">
        <f t="shared" si="8"/>
        <v>1.2000000000000002E-5</v>
      </c>
      <c r="K23" s="10">
        <f t="shared" si="8"/>
        <v>1.2000000000000002E-5</v>
      </c>
      <c r="L23" s="10">
        <f t="shared" si="8"/>
        <v>1.2000000000000002E-5</v>
      </c>
      <c r="M23" s="10">
        <f t="shared" si="8"/>
        <v>1.2000000000000002E-5</v>
      </c>
      <c r="N23" s="10">
        <f t="shared" si="8"/>
        <v>1.2000000000000002E-5</v>
      </c>
      <c r="O23" s="10">
        <f t="shared" si="8"/>
        <v>1.2000000000000002E-5</v>
      </c>
      <c r="P23" s="10">
        <f t="shared" si="8"/>
        <v>1.2000000000000002E-5</v>
      </c>
      <c r="Q23" s="10">
        <f t="shared" si="8"/>
        <v>1.2000000000000002E-5</v>
      </c>
      <c r="R23" s="10">
        <f t="shared" si="8"/>
        <v>1.2000000000000002E-5</v>
      </c>
      <c r="S23" s="10">
        <f t="shared" si="8"/>
        <v>1.2000000000000002E-5</v>
      </c>
      <c r="T23" s="10">
        <f t="shared" si="8"/>
        <v>1.2000000000000002E-5</v>
      </c>
    </row>
    <row r="24" spans="1:20" x14ac:dyDescent="0.25">
      <c r="A24" s="2" t="s">
        <v>213</v>
      </c>
      <c r="B24" s="3" t="s">
        <v>177</v>
      </c>
      <c r="C24" s="2" t="s">
        <v>253</v>
      </c>
      <c r="D24" s="3" t="s">
        <v>254</v>
      </c>
      <c r="E24" s="12" t="s">
        <v>225</v>
      </c>
      <c r="F24" s="12" t="s">
        <v>192</v>
      </c>
      <c r="G24" s="16">
        <v>0.2</v>
      </c>
      <c r="H24" s="10">
        <v>0.2</v>
      </c>
      <c r="I24" s="10">
        <v>0.2</v>
      </c>
      <c r="J24" s="10">
        <v>0.2</v>
      </c>
      <c r="K24" s="10">
        <v>0.2</v>
      </c>
      <c r="L24" s="10">
        <v>0.2</v>
      </c>
      <c r="M24" s="10">
        <v>0.2</v>
      </c>
      <c r="N24" s="10">
        <v>0.2</v>
      </c>
      <c r="O24" s="10">
        <v>0.2</v>
      </c>
      <c r="P24" s="10">
        <v>0.2</v>
      </c>
      <c r="Q24" s="10">
        <v>0.2</v>
      </c>
      <c r="R24" s="10">
        <v>0.2</v>
      </c>
      <c r="S24" s="10">
        <v>0.2</v>
      </c>
      <c r="T24" s="10">
        <v>0.2</v>
      </c>
    </row>
    <row r="25" spans="1:20" x14ac:dyDescent="0.25">
      <c r="A25" s="2" t="s">
        <v>214</v>
      </c>
      <c r="B25" s="3" t="s">
        <v>177</v>
      </c>
      <c r="C25" s="2" t="s">
        <v>253</v>
      </c>
      <c r="D25" s="3" t="s">
        <v>254</v>
      </c>
      <c r="E25" s="12" t="s">
        <v>226</v>
      </c>
      <c r="F25" s="12" t="s">
        <v>196</v>
      </c>
      <c r="G25" s="16" t="s">
        <v>181</v>
      </c>
      <c r="H25" s="10" t="s">
        <v>181</v>
      </c>
      <c r="I25" s="10" t="s">
        <v>181</v>
      </c>
      <c r="J25" s="10" t="s">
        <v>181</v>
      </c>
      <c r="K25" s="10" t="s">
        <v>181</v>
      </c>
      <c r="L25" s="10" t="s">
        <v>181</v>
      </c>
      <c r="M25" s="10" t="s">
        <v>181</v>
      </c>
      <c r="N25" s="10" t="s">
        <v>181</v>
      </c>
      <c r="O25" s="10" t="s">
        <v>181</v>
      </c>
      <c r="P25" s="10" t="s">
        <v>181</v>
      </c>
      <c r="Q25" s="10" t="s">
        <v>181</v>
      </c>
      <c r="R25" s="10" t="s">
        <v>181</v>
      </c>
      <c r="S25" s="10" t="s">
        <v>181</v>
      </c>
      <c r="T25" s="10" t="s">
        <v>181</v>
      </c>
    </row>
    <row r="26" spans="1:20" x14ac:dyDescent="0.25">
      <c r="A26" s="2" t="s">
        <v>215</v>
      </c>
      <c r="B26" s="3" t="s">
        <v>177</v>
      </c>
      <c r="C26" s="2" t="s">
        <v>253</v>
      </c>
      <c r="D26" s="3" t="s">
        <v>254</v>
      </c>
      <c r="E26" s="12" t="s">
        <v>227</v>
      </c>
      <c r="F26" s="12" t="s">
        <v>196</v>
      </c>
      <c r="G26" s="16">
        <f>2*0.1</f>
        <v>0.2</v>
      </c>
      <c r="H26" s="10">
        <f t="shared" ref="H26:T26" si="9">2*0.1</f>
        <v>0.2</v>
      </c>
      <c r="I26" s="10">
        <f t="shared" si="9"/>
        <v>0.2</v>
      </c>
      <c r="J26" s="10">
        <f t="shared" si="9"/>
        <v>0.2</v>
      </c>
      <c r="K26" s="10">
        <f t="shared" si="9"/>
        <v>0.2</v>
      </c>
      <c r="L26" s="10">
        <f t="shared" si="9"/>
        <v>0.2</v>
      </c>
      <c r="M26" s="10">
        <f t="shared" si="9"/>
        <v>0.2</v>
      </c>
      <c r="N26" s="10">
        <f t="shared" si="9"/>
        <v>0.2</v>
      </c>
      <c r="O26" s="10">
        <f t="shared" si="9"/>
        <v>0.2</v>
      </c>
      <c r="P26" s="10">
        <f t="shared" si="9"/>
        <v>0.2</v>
      </c>
      <c r="Q26" s="10">
        <f t="shared" si="9"/>
        <v>0.2</v>
      </c>
      <c r="R26" s="10">
        <f t="shared" si="9"/>
        <v>0.2</v>
      </c>
      <c r="S26" s="10">
        <f t="shared" si="9"/>
        <v>0.2</v>
      </c>
      <c r="T26" s="10">
        <f t="shared" si="9"/>
        <v>0.2</v>
      </c>
    </row>
    <row r="27" spans="1:20" x14ac:dyDescent="0.25">
      <c r="A27" s="2" t="s">
        <v>216</v>
      </c>
      <c r="B27" s="3" t="s">
        <v>177</v>
      </c>
      <c r="C27" s="2" t="s">
        <v>253</v>
      </c>
      <c r="D27" s="3" t="s">
        <v>254</v>
      </c>
      <c r="E27" s="12" t="s">
        <v>228</v>
      </c>
      <c r="F27" s="12" t="s">
        <v>196</v>
      </c>
      <c r="G27" s="16">
        <v>1E-3</v>
      </c>
      <c r="H27" s="10">
        <v>1E-3</v>
      </c>
      <c r="I27" s="10">
        <v>1E-3</v>
      </c>
      <c r="J27" s="10">
        <v>1E-3</v>
      </c>
      <c r="K27" s="10">
        <v>1E-3</v>
      </c>
      <c r="L27" s="10">
        <v>1E-3</v>
      </c>
      <c r="M27" s="10">
        <v>1E-3</v>
      </c>
      <c r="N27" s="10">
        <v>1E-3</v>
      </c>
      <c r="O27" s="10">
        <v>1E-3</v>
      </c>
      <c r="P27" s="10">
        <v>1E-3</v>
      </c>
      <c r="Q27" s="10">
        <v>1E-3</v>
      </c>
      <c r="R27" s="10">
        <v>1E-3</v>
      </c>
      <c r="S27" s="10">
        <v>1E-3</v>
      </c>
      <c r="T27" s="10">
        <v>1E-3</v>
      </c>
    </row>
    <row r="28" spans="1:20" x14ac:dyDescent="0.25">
      <c r="A28" s="2" t="s">
        <v>217</v>
      </c>
      <c r="B28" s="3" t="s">
        <v>177</v>
      </c>
      <c r="C28" s="2" t="s">
        <v>252</v>
      </c>
      <c r="D28" s="2" t="s">
        <v>209</v>
      </c>
      <c r="E28" s="12" t="s">
        <v>229</v>
      </c>
      <c r="F28" s="12" t="s">
        <v>196</v>
      </c>
      <c r="G28" s="14">
        <v>1.0000000000000001E-5</v>
      </c>
      <c r="H28" s="10">
        <f>0.00001 / 2 * 10 /2 / 3 / 3 / 3</f>
        <v>9.2592592592592594E-7</v>
      </c>
      <c r="I28" s="10">
        <f>0.00001 / 2</f>
        <v>5.0000000000000004E-6</v>
      </c>
      <c r="J28" s="10">
        <f t="shared" ref="J28:T28" si="10">0.00001 / 2</f>
        <v>5.0000000000000004E-6</v>
      </c>
      <c r="K28" s="10">
        <f t="shared" si="10"/>
        <v>5.0000000000000004E-6</v>
      </c>
      <c r="L28" s="10">
        <f t="shared" si="10"/>
        <v>5.0000000000000004E-6</v>
      </c>
      <c r="M28" s="10">
        <f t="shared" si="10"/>
        <v>5.0000000000000004E-6</v>
      </c>
      <c r="N28" s="10">
        <f t="shared" si="10"/>
        <v>5.0000000000000004E-6</v>
      </c>
      <c r="O28" s="10">
        <f t="shared" si="10"/>
        <v>5.0000000000000004E-6</v>
      </c>
      <c r="P28" s="10">
        <f t="shared" si="10"/>
        <v>5.0000000000000004E-6</v>
      </c>
      <c r="Q28" s="10">
        <f t="shared" si="10"/>
        <v>5.0000000000000004E-6</v>
      </c>
      <c r="R28" s="10">
        <f t="shared" si="10"/>
        <v>5.0000000000000004E-6</v>
      </c>
      <c r="S28" s="10">
        <f t="shared" si="10"/>
        <v>5.0000000000000004E-6</v>
      </c>
      <c r="T28" s="10">
        <f t="shared" si="10"/>
        <v>5.0000000000000004E-6</v>
      </c>
    </row>
    <row r="29" spans="1:20" x14ac:dyDescent="0.25">
      <c r="A29" s="2" t="s">
        <v>247</v>
      </c>
      <c r="B29" s="3" t="s">
        <v>177</v>
      </c>
      <c r="C29" s="2" t="s">
        <v>252</v>
      </c>
      <c r="D29" s="2" t="s">
        <v>209</v>
      </c>
      <c r="E29" s="12" t="s">
        <v>248</v>
      </c>
      <c r="F29" s="12" t="s">
        <v>196</v>
      </c>
      <c r="G29" s="14">
        <v>1.0000000000000001E-5</v>
      </c>
      <c r="H29" s="10">
        <f>0.000000005 / 5 *10 / 2 / 3 / 2 / 2</f>
        <v>4.1666666666666668E-10</v>
      </c>
      <c r="I29" s="10">
        <f>0.000000005 / 5</f>
        <v>1.0000000000000001E-9</v>
      </c>
      <c r="J29" s="10">
        <f t="shared" ref="J29:T29" si="11">0.000000005 / 5</f>
        <v>1.0000000000000001E-9</v>
      </c>
      <c r="K29" s="10">
        <f t="shared" si="11"/>
        <v>1.0000000000000001E-9</v>
      </c>
      <c r="L29" s="10">
        <f t="shared" si="11"/>
        <v>1.0000000000000001E-9</v>
      </c>
      <c r="M29" s="10">
        <f t="shared" si="11"/>
        <v>1.0000000000000001E-9</v>
      </c>
      <c r="N29" s="10">
        <f t="shared" si="11"/>
        <v>1.0000000000000001E-9</v>
      </c>
      <c r="O29" s="10">
        <f t="shared" si="11"/>
        <v>1.0000000000000001E-9</v>
      </c>
      <c r="P29" s="10">
        <f t="shared" si="11"/>
        <v>1.0000000000000001E-9</v>
      </c>
      <c r="Q29" s="10">
        <f t="shared" si="11"/>
        <v>1.0000000000000001E-9</v>
      </c>
      <c r="R29" s="10">
        <f t="shared" si="11"/>
        <v>1.0000000000000001E-9</v>
      </c>
      <c r="S29" s="10">
        <f t="shared" si="11"/>
        <v>1.0000000000000001E-9</v>
      </c>
      <c r="T29" s="10">
        <f t="shared" si="11"/>
        <v>1.0000000000000001E-9</v>
      </c>
    </row>
    <row r="30" spans="1:20" x14ac:dyDescent="0.25">
      <c r="A30" s="2" t="s">
        <v>237</v>
      </c>
      <c r="B30" s="3" t="s">
        <v>177</v>
      </c>
      <c r="C30" s="2" t="s">
        <v>253</v>
      </c>
      <c r="D30" s="3" t="s">
        <v>254</v>
      </c>
      <c r="E30" s="5" t="s">
        <v>231</v>
      </c>
      <c r="F30" s="5" t="s">
        <v>232</v>
      </c>
      <c r="G30" s="10">
        <f t="shared" ref="G30" si="12">0.00002 / 14 / 5</f>
        <v>2.8571428571428575E-7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</row>
    <row r="31" spans="1:20" x14ac:dyDescent="0.25">
      <c r="A31" s="2" t="s">
        <v>238</v>
      </c>
      <c r="B31" s="3" t="s">
        <v>177</v>
      </c>
      <c r="C31" s="2" t="s">
        <v>253</v>
      </c>
      <c r="D31" s="3" t="s">
        <v>254</v>
      </c>
      <c r="E31" s="5" t="s">
        <v>231</v>
      </c>
      <c r="F31" s="5" t="s">
        <v>232</v>
      </c>
      <c r="G31" s="10">
        <f t="shared" ref="G31" si="13">0.00002 / 14 / 5 /10</f>
        <v>2.8571428571428575E-8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</row>
    <row r="32" spans="1:20" x14ac:dyDescent="0.25">
      <c r="A32" s="2" t="s">
        <v>276</v>
      </c>
      <c r="B32" s="3" t="s">
        <v>177</v>
      </c>
      <c r="C32" s="2" t="s">
        <v>252</v>
      </c>
      <c r="D32" s="2" t="s">
        <v>209</v>
      </c>
      <c r="E32" s="12" t="s">
        <v>277</v>
      </c>
      <c r="F32" s="12" t="s">
        <v>192</v>
      </c>
      <c r="G32" s="14">
        <v>260</v>
      </c>
      <c r="H32" s="10">
        <v>260</v>
      </c>
      <c r="I32" s="10">
        <v>260</v>
      </c>
      <c r="J32" s="10">
        <v>260</v>
      </c>
      <c r="K32" s="10">
        <v>260</v>
      </c>
      <c r="L32" s="10">
        <v>260</v>
      </c>
      <c r="M32" s="10">
        <v>260</v>
      </c>
      <c r="N32" s="10">
        <v>260</v>
      </c>
      <c r="O32" s="10">
        <v>260</v>
      </c>
      <c r="P32" s="10">
        <v>260</v>
      </c>
      <c r="Q32" s="10">
        <v>260</v>
      </c>
      <c r="R32" s="10">
        <v>260</v>
      </c>
      <c r="S32" s="10">
        <v>260</v>
      </c>
      <c r="T32" s="10">
        <v>260</v>
      </c>
    </row>
    <row r="33" spans="1:20" x14ac:dyDescent="0.25">
      <c r="A33" s="2" t="s">
        <v>282</v>
      </c>
      <c r="B33" s="3" t="s">
        <v>177</v>
      </c>
      <c r="C33" s="2" t="s">
        <v>252</v>
      </c>
      <c r="D33" s="2" t="s">
        <v>209</v>
      </c>
      <c r="E33" s="12" t="s">
        <v>281</v>
      </c>
      <c r="F33" s="12" t="s">
        <v>192</v>
      </c>
      <c r="G33" s="19" t="s">
        <v>283</v>
      </c>
      <c r="H33" s="10" t="s">
        <v>284</v>
      </c>
      <c r="I33" s="10" t="s">
        <v>284</v>
      </c>
      <c r="J33" s="10" t="s">
        <v>284</v>
      </c>
      <c r="K33" s="10" t="s">
        <v>284</v>
      </c>
      <c r="L33" s="10" t="s">
        <v>284</v>
      </c>
      <c r="M33" s="10" t="s">
        <v>284</v>
      </c>
      <c r="N33" s="10" t="s">
        <v>284</v>
      </c>
      <c r="O33" s="10" t="s">
        <v>284</v>
      </c>
      <c r="P33" s="10" t="s">
        <v>284</v>
      </c>
      <c r="Q33" s="10" t="s">
        <v>284</v>
      </c>
      <c r="R33" s="10" t="s">
        <v>284</v>
      </c>
      <c r="S33" s="10" t="s">
        <v>284</v>
      </c>
      <c r="T33" s="10" t="s">
        <v>284</v>
      </c>
    </row>
    <row r="34" spans="1:20" x14ac:dyDescent="0.25">
      <c r="A34" s="2" t="s">
        <v>285</v>
      </c>
      <c r="B34" s="3" t="s">
        <v>177</v>
      </c>
      <c r="C34" s="2" t="s">
        <v>252</v>
      </c>
      <c r="D34" s="2" t="s">
        <v>209</v>
      </c>
      <c r="E34" s="12" t="s">
        <v>286</v>
      </c>
      <c r="F34" s="12" t="s">
        <v>287</v>
      </c>
      <c r="G34" s="12">
        <v>5.9999999999999997E-14</v>
      </c>
      <c r="H34" s="10">
        <f>0.0000000000005* (6 * 12 / 0.44) * 0.0173 / 14 / 1.4 / 10 / 2 * 2</f>
        <v>7.221706864564007E-15</v>
      </c>
      <c r="I34" s="10">
        <f>0.0000000000005* (6 * 12 / 0.44) * 0.0173 / 14 / 1.4 / 10 / 2 /2</f>
        <v>1.8054267161410017E-15</v>
      </c>
      <c r="J34" s="10">
        <f t="shared" ref="J34:T34" si="14">0.0000000000005* (6 * 12 / 0.44) * 0.0173 / 14 / 1.4 / 10 / 2/2</f>
        <v>1.8054267161410017E-15</v>
      </c>
      <c r="K34" s="10">
        <f t="shared" si="14"/>
        <v>1.8054267161410017E-15</v>
      </c>
      <c r="L34" s="10">
        <f t="shared" si="14"/>
        <v>1.8054267161410017E-15</v>
      </c>
      <c r="M34" s="10">
        <f t="shared" si="14"/>
        <v>1.8054267161410017E-15</v>
      </c>
      <c r="N34" s="10">
        <f t="shared" si="14"/>
        <v>1.8054267161410017E-15</v>
      </c>
      <c r="O34" s="10">
        <f t="shared" si="14"/>
        <v>1.8054267161410017E-15</v>
      </c>
      <c r="P34" s="10">
        <f t="shared" si="14"/>
        <v>1.8054267161410017E-15</v>
      </c>
      <c r="Q34" s="10">
        <f t="shared" si="14"/>
        <v>1.8054267161410017E-15</v>
      </c>
      <c r="R34" s="10">
        <f t="shared" si="14"/>
        <v>1.8054267161410017E-15</v>
      </c>
      <c r="S34" s="10">
        <f t="shared" si="14"/>
        <v>1.8054267161410017E-15</v>
      </c>
      <c r="T34" s="10">
        <f t="shared" si="14"/>
        <v>1.8054267161410017E-15</v>
      </c>
    </row>
    <row r="35" spans="1:20" x14ac:dyDescent="0.25">
      <c r="A35" s="2" t="s">
        <v>290</v>
      </c>
      <c r="B35" s="3" t="s">
        <v>177</v>
      </c>
      <c r="C35" s="2" t="s">
        <v>252</v>
      </c>
      <c r="D35" s="2" t="s">
        <v>209</v>
      </c>
      <c r="E35" s="12" t="s">
        <v>292</v>
      </c>
      <c r="F35" s="12" t="s">
        <v>291</v>
      </c>
      <c r="G35" s="12">
        <v>0.1</v>
      </c>
      <c r="H35" s="10">
        <v>0.01</v>
      </c>
      <c r="I35" s="10">
        <v>0.01</v>
      </c>
      <c r="J35" s="10">
        <v>0.01</v>
      </c>
      <c r="K35" s="10">
        <v>0.01</v>
      </c>
      <c r="L35" s="10">
        <v>0.01</v>
      </c>
      <c r="M35" s="10">
        <v>0.01</v>
      </c>
      <c r="N35" s="10">
        <v>0.01</v>
      </c>
      <c r="O35" s="10">
        <v>0.01</v>
      </c>
      <c r="P35" s="10">
        <v>0.01</v>
      </c>
      <c r="Q35" s="10">
        <v>0.01</v>
      </c>
      <c r="R35" s="10">
        <v>0.01</v>
      </c>
      <c r="S35" s="10">
        <v>0.01</v>
      </c>
      <c r="T35" s="10">
        <v>0.01</v>
      </c>
    </row>
    <row r="36" spans="1:20" x14ac:dyDescent="0.25">
      <c r="A36" s="2" t="s">
        <v>293</v>
      </c>
      <c r="B36" s="3" t="s">
        <v>177</v>
      </c>
      <c r="C36" s="2" t="s">
        <v>252</v>
      </c>
      <c r="D36" s="2" t="s">
        <v>209</v>
      </c>
      <c r="E36" s="12" t="s">
        <v>294</v>
      </c>
      <c r="F36" s="12" t="s">
        <v>295</v>
      </c>
      <c r="G36" s="12">
        <v>1.9999999999999999E-7</v>
      </c>
      <c r="H36" s="10">
        <f>0.00000001</f>
        <v>1E-8</v>
      </c>
      <c r="I36" s="20">
        <f>0.0000002*100</f>
        <v>1.9999999999999998E-5</v>
      </c>
      <c r="J36" s="20">
        <f t="shared" ref="J36:T36" si="15">0.0000002*100</f>
        <v>1.9999999999999998E-5</v>
      </c>
      <c r="K36" s="20">
        <f t="shared" si="15"/>
        <v>1.9999999999999998E-5</v>
      </c>
      <c r="L36" s="20">
        <f t="shared" si="15"/>
        <v>1.9999999999999998E-5</v>
      </c>
      <c r="M36" s="20">
        <f t="shared" si="15"/>
        <v>1.9999999999999998E-5</v>
      </c>
      <c r="N36" s="20">
        <f t="shared" si="15"/>
        <v>1.9999999999999998E-5</v>
      </c>
      <c r="O36" s="20">
        <f t="shared" si="15"/>
        <v>1.9999999999999998E-5</v>
      </c>
      <c r="P36" s="20">
        <f t="shared" si="15"/>
        <v>1.9999999999999998E-5</v>
      </c>
      <c r="Q36" s="20">
        <f t="shared" si="15"/>
        <v>1.9999999999999998E-5</v>
      </c>
      <c r="R36" s="20">
        <f t="shared" si="15"/>
        <v>1.9999999999999998E-5</v>
      </c>
      <c r="S36" s="20">
        <f t="shared" si="15"/>
        <v>1.9999999999999998E-5</v>
      </c>
      <c r="T36" s="20">
        <f t="shared" si="15"/>
        <v>1.9999999999999998E-5</v>
      </c>
    </row>
    <row r="37" spans="1:20" x14ac:dyDescent="0.25">
      <c r="A37" s="2" t="s">
        <v>70</v>
      </c>
      <c r="B37" s="3" t="s">
        <v>177</v>
      </c>
      <c r="C37" s="2" t="s">
        <v>252</v>
      </c>
      <c r="D37" s="2" t="s">
        <v>209</v>
      </c>
      <c r="E37" s="12" t="s">
        <v>296</v>
      </c>
      <c r="F37" s="12" t="s">
        <v>297</v>
      </c>
      <c r="G37" s="12">
        <v>5.0000000000000004E-6</v>
      </c>
      <c r="H37" s="10">
        <v>5.0000000000000004E-6</v>
      </c>
      <c r="I37" s="10">
        <f>0.01*3</f>
        <v>0.03</v>
      </c>
      <c r="J37" s="10">
        <f t="shared" ref="J37:T37" si="16">0.01*3</f>
        <v>0.03</v>
      </c>
      <c r="K37" s="10">
        <f t="shared" si="16"/>
        <v>0.03</v>
      </c>
      <c r="L37" s="10">
        <f t="shared" si="16"/>
        <v>0.03</v>
      </c>
      <c r="M37" s="10">
        <f t="shared" si="16"/>
        <v>0.03</v>
      </c>
      <c r="N37" s="10">
        <f t="shared" si="16"/>
        <v>0.03</v>
      </c>
      <c r="O37" s="10">
        <f t="shared" si="16"/>
        <v>0.03</v>
      </c>
      <c r="P37" s="10">
        <f t="shared" si="16"/>
        <v>0.03</v>
      </c>
      <c r="Q37" s="10">
        <f t="shared" si="16"/>
        <v>0.03</v>
      </c>
      <c r="R37" s="10">
        <f t="shared" si="16"/>
        <v>0.03</v>
      </c>
      <c r="S37" s="10">
        <f t="shared" si="16"/>
        <v>0.03</v>
      </c>
      <c r="T37" s="10">
        <f t="shared" si="16"/>
        <v>0.03</v>
      </c>
    </row>
    <row r="40" spans="1:20" x14ac:dyDescent="0.25">
      <c r="H40" s="21"/>
    </row>
  </sheetData>
  <conditionalFormatting sqref="G14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:G31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1:T31">
    <cfRule type="colorScale" priority="7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8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:T6">
    <cfRule type="colorScale" priority="7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7:T7">
    <cfRule type="colorScale" priority="7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:T8">
    <cfRule type="colorScale" priority="7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9:T9">
    <cfRule type="colorScale" priority="7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:T10">
    <cfRule type="colorScale" priority="7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1:T11">
    <cfRule type="colorScale" priority="7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3:T13">
    <cfRule type="colorScale" priority="7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4:T1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5:T15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6:T16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:T17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T19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0:T20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:T21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:T22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3:T2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4:T27">
    <cfRule type="colorScale" priority="7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8:T28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9:T29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:T31">
    <cfRule type="colorScale" priority="7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2:T3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:T33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4:T3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5:T3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8:T18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6:T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7:T3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9"/>
  <sheetViews>
    <sheetView workbookViewId="0">
      <pane xSplit="2" ySplit="1" topLeftCell="C149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11.42578125" defaultRowHeight="15" x14ac:dyDescent="0.25"/>
  <cols>
    <col min="1" max="2" width="35.7109375" customWidth="1"/>
    <col min="3" max="3" width="49.5703125" customWidth="1"/>
  </cols>
  <sheetData>
    <row r="1" spans="1:3" s="1" customFormat="1" x14ac:dyDescent="0.25">
      <c r="A1" s="1" t="s">
        <v>170</v>
      </c>
      <c r="B1" s="1" t="s">
        <v>171</v>
      </c>
      <c r="C1" s="1" t="s">
        <v>172</v>
      </c>
    </row>
    <row r="2" spans="1:3" x14ac:dyDescent="0.25">
      <c r="A2" t="s">
        <v>91</v>
      </c>
      <c r="B2" t="s">
        <v>2</v>
      </c>
      <c r="C2" t="str">
        <f>IF(ISNA(VLOOKUP(A2,$B$2:$B$170,1,FALSE)),A2,"")</f>
        <v>pi</v>
      </c>
    </row>
    <row r="3" spans="1:3" x14ac:dyDescent="0.25">
      <c r="A3" t="s">
        <v>3</v>
      </c>
      <c r="B3" t="s">
        <v>3</v>
      </c>
      <c r="C3" t="str">
        <f t="shared" ref="C3:C66" si="0">IF(ISNA(VLOOKUP(A3,$B$2:$B$170,1,FALSE)),A3,"")</f>
        <v/>
      </c>
    </row>
    <row r="4" spans="1:3" x14ac:dyDescent="0.25">
      <c r="A4" t="s">
        <v>39</v>
      </c>
      <c r="B4" t="s">
        <v>4</v>
      </c>
      <c r="C4" t="str">
        <f t="shared" si="0"/>
        <v/>
      </c>
    </row>
    <row r="5" spans="1:3" x14ac:dyDescent="0.25">
      <c r="A5" t="s">
        <v>92</v>
      </c>
      <c r="B5" t="s">
        <v>5</v>
      </c>
      <c r="C5" t="str">
        <f t="shared" si="0"/>
        <v/>
      </c>
    </row>
    <row r="6" spans="1:3" x14ac:dyDescent="0.25">
      <c r="A6" t="s">
        <v>41</v>
      </c>
      <c r="B6" t="s">
        <v>20</v>
      </c>
      <c r="C6" t="str">
        <f t="shared" si="0"/>
        <v/>
      </c>
    </row>
    <row r="7" spans="1:3" x14ac:dyDescent="0.25">
      <c r="A7" t="s">
        <v>40</v>
      </c>
      <c r="B7" t="s">
        <v>0</v>
      </c>
      <c r="C7" t="str">
        <f t="shared" si="0"/>
        <v/>
      </c>
    </row>
    <row r="8" spans="1:3" x14ac:dyDescent="0.25">
      <c r="A8" t="s">
        <v>44</v>
      </c>
      <c r="B8" t="s">
        <v>1</v>
      </c>
      <c r="C8" t="str">
        <f t="shared" si="0"/>
        <v/>
      </c>
    </row>
    <row r="9" spans="1:3" x14ac:dyDescent="0.25">
      <c r="A9" t="s">
        <v>49</v>
      </c>
      <c r="B9" t="s">
        <v>6</v>
      </c>
      <c r="C9" t="str">
        <f t="shared" si="0"/>
        <v/>
      </c>
    </row>
    <row r="10" spans="1:3" x14ac:dyDescent="0.25">
      <c r="A10" t="s">
        <v>47</v>
      </c>
      <c r="B10" t="s">
        <v>7</v>
      </c>
      <c r="C10" t="str">
        <f t="shared" si="0"/>
        <v/>
      </c>
    </row>
    <row r="11" spans="1:3" x14ac:dyDescent="0.25">
      <c r="A11" t="s">
        <v>48</v>
      </c>
      <c r="B11" t="s">
        <v>8</v>
      </c>
      <c r="C11" t="str">
        <f t="shared" si="0"/>
        <v/>
      </c>
    </row>
    <row r="12" spans="1:3" x14ac:dyDescent="0.25">
      <c r="A12" t="s">
        <v>46</v>
      </c>
      <c r="B12" t="s">
        <v>9</v>
      </c>
      <c r="C12" t="str">
        <f t="shared" si="0"/>
        <v/>
      </c>
    </row>
    <row r="13" spans="1:3" x14ac:dyDescent="0.25">
      <c r="A13" t="s">
        <v>45</v>
      </c>
      <c r="B13" t="s">
        <v>10</v>
      </c>
      <c r="C13" t="str">
        <f t="shared" si="0"/>
        <v/>
      </c>
    </row>
    <row r="14" spans="1:3" x14ac:dyDescent="0.25">
      <c r="A14" t="s">
        <v>87</v>
      </c>
      <c r="B14" t="s">
        <v>11</v>
      </c>
      <c r="C14" t="str">
        <f t="shared" si="0"/>
        <v/>
      </c>
    </row>
    <row r="15" spans="1:3" x14ac:dyDescent="0.25">
      <c r="A15" t="s">
        <v>42</v>
      </c>
      <c r="B15" t="s">
        <v>12</v>
      </c>
      <c r="C15" t="str">
        <f t="shared" si="0"/>
        <v/>
      </c>
    </row>
    <row r="16" spans="1:3" x14ac:dyDescent="0.25">
      <c r="A16" t="s">
        <v>93</v>
      </c>
      <c r="B16" t="s">
        <v>13</v>
      </c>
      <c r="C16" t="str">
        <f t="shared" si="0"/>
        <v/>
      </c>
    </row>
    <row r="17" spans="1:3" x14ac:dyDescent="0.25">
      <c r="A17" t="s">
        <v>43</v>
      </c>
      <c r="B17" t="s">
        <v>14</v>
      </c>
      <c r="C17" t="str">
        <f t="shared" si="0"/>
        <v/>
      </c>
    </row>
    <row r="18" spans="1:3" x14ac:dyDescent="0.25">
      <c r="A18" t="s">
        <v>50</v>
      </c>
      <c r="B18" t="s">
        <v>15</v>
      </c>
      <c r="C18" t="str">
        <f t="shared" si="0"/>
        <v/>
      </c>
    </row>
    <row r="19" spans="1:3" x14ac:dyDescent="0.25">
      <c r="A19" t="s">
        <v>90</v>
      </c>
      <c r="B19" t="s">
        <v>16</v>
      </c>
      <c r="C19" t="str">
        <f t="shared" si="0"/>
        <v/>
      </c>
    </row>
    <row r="20" spans="1:3" x14ac:dyDescent="0.25">
      <c r="A20" t="s">
        <v>51</v>
      </c>
      <c r="B20" t="s">
        <v>17</v>
      </c>
      <c r="C20" t="str">
        <f t="shared" si="0"/>
        <v/>
      </c>
    </row>
    <row r="21" spans="1:3" x14ac:dyDescent="0.25">
      <c r="A21" t="s">
        <v>52</v>
      </c>
      <c r="B21" t="s">
        <v>18</v>
      </c>
      <c r="C21" t="str">
        <f t="shared" si="0"/>
        <v/>
      </c>
    </row>
    <row r="22" spans="1:3" x14ac:dyDescent="0.25">
      <c r="A22" t="s">
        <v>53</v>
      </c>
      <c r="B22" t="s">
        <v>19</v>
      </c>
      <c r="C22" t="str">
        <f t="shared" si="0"/>
        <v/>
      </c>
    </row>
    <row r="23" spans="1:3" x14ac:dyDescent="0.25">
      <c r="A23" t="s">
        <v>55</v>
      </c>
      <c r="B23" t="s">
        <v>21</v>
      </c>
      <c r="C23" t="str">
        <f t="shared" si="0"/>
        <v/>
      </c>
    </row>
    <row r="24" spans="1:3" x14ac:dyDescent="0.25">
      <c r="A24" t="s">
        <v>54</v>
      </c>
      <c r="B24" t="s">
        <v>22</v>
      </c>
      <c r="C24" t="str">
        <f t="shared" si="0"/>
        <v/>
      </c>
    </row>
    <row r="25" spans="1:3" x14ac:dyDescent="0.25">
      <c r="A25" t="s">
        <v>60</v>
      </c>
      <c r="B25" t="s">
        <v>23</v>
      </c>
      <c r="C25" t="str">
        <f t="shared" si="0"/>
        <v/>
      </c>
    </row>
    <row r="26" spans="1:3" x14ac:dyDescent="0.25">
      <c r="A26" t="s">
        <v>94</v>
      </c>
      <c r="B26" t="s">
        <v>24</v>
      </c>
      <c r="C26" t="str">
        <f t="shared" si="0"/>
        <v/>
      </c>
    </row>
    <row r="27" spans="1:3" x14ac:dyDescent="0.25">
      <c r="A27" t="s">
        <v>95</v>
      </c>
      <c r="B27" t="s">
        <v>25</v>
      </c>
      <c r="C27" t="str">
        <f t="shared" si="0"/>
        <v>root_growth_T_ref</v>
      </c>
    </row>
    <row r="28" spans="1:3" x14ac:dyDescent="0.25">
      <c r="A28" t="s">
        <v>96</v>
      </c>
      <c r="B28" t="s">
        <v>26</v>
      </c>
      <c r="C28" t="str">
        <f t="shared" si="0"/>
        <v>root_growth_A</v>
      </c>
    </row>
    <row r="29" spans="1:3" x14ac:dyDescent="0.25">
      <c r="A29" t="s">
        <v>97</v>
      </c>
      <c r="B29" t="s">
        <v>27</v>
      </c>
      <c r="C29" t="str">
        <f t="shared" si="0"/>
        <v>root_growth_B</v>
      </c>
    </row>
    <row r="30" spans="1:3" x14ac:dyDescent="0.25">
      <c r="A30" t="s">
        <v>98</v>
      </c>
      <c r="B30" t="s">
        <v>28</v>
      </c>
      <c r="C30" t="str">
        <f t="shared" si="0"/>
        <v>root_growth_C</v>
      </c>
    </row>
    <row r="31" spans="1:3" x14ac:dyDescent="0.25">
      <c r="A31" t="s">
        <v>99</v>
      </c>
      <c r="B31" t="s">
        <v>29</v>
      </c>
      <c r="C31" t="str">
        <f t="shared" si="0"/>
        <v/>
      </c>
    </row>
    <row r="32" spans="1:3" x14ac:dyDescent="0.25">
      <c r="A32" t="s">
        <v>100</v>
      </c>
      <c r="B32" t="s">
        <v>30</v>
      </c>
      <c r="C32" t="str">
        <f t="shared" si="0"/>
        <v/>
      </c>
    </row>
    <row r="33" spans="1:3" x14ac:dyDescent="0.25">
      <c r="A33" t="s">
        <v>101</v>
      </c>
      <c r="B33" t="s">
        <v>31</v>
      </c>
      <c r="C33" t="str">
        <f t="shared" si="0"/>
        <v/>
      </c>
    </row>
    <row r="34" spans="1:3" x14ac:dyDescent="0.25">
      <c r="A34" t="s">
        <v>102</v>
      </c>
      <c r="B34" t="s">
        <v>32</v>
      </c>
      <c r="C34" t="str">
        <f t="shared" si="0"/>
        <v/>
      </c>
    </row>
    <row r="35" spans="1:3" x14ac:dyDescent="0.25">
      <c r="A35" t="s">
        <v>103</v>
      </c>
      <c r="B35" t="s">
        <v>33</v>
      </c>
      <c r="C35" t="str">
        <f t="shared" si="0"/>
        <v/>
      </c>
    </row>
    <row r="36" spans="1:3" x14ac:dyDescent="0.25">
      <c r="A36" t="s">
        <v>61</v>
      </c>
      <c r="B36" t="s">
        <v>34</v>
      </c>
      <c r="C36" t="str">
        <f t="shared" si="0"/>
        <v/>
      </c>
    </row>
    <row r="37" spans="1:3" x14ac:dyDescent="0.25">
      <c r="A37" t="s">
        <v>75</v>
      </c>
      <c r="B37" t="s">
        <v>35</v>
      </c>
      <c r="C37" t="str">
        <f t="shared" si="0"/>
        <v/>
      </c>
    </row>
    <row r="38" spans="1:3" x14ac:dyDescent="0.25">
      <c r="A38" t="s">
        <v>104</v>
      </c>
      <c r="B38" t="s">
        <v>36</v>
      </c>
      <c r="C38" t="str">
        <f t="shared" si="0"/>
        <v/>
      </c>
    </row>
    <row r="39" spans="1:3" x14ac:dyDescent="0.25">
      <c r="A39" t="s">
        <v>105</v>
      </c>
      <c r="B39" t="s">
        <v>37</v>
      </c>
      <c r="C39" t="str">
        <f t="shared" si="0"/>
        <v/>
      </c>
    </row>
    <row r="40" spans="1:3" x14ac:dyDescent="0.25">
      <c r="A40" t="s">
        <v>106</v>
      </c>
      <c r="B40" t="s">
        <v>38</v>
      </c>
      <c r="C40" t="str">
        <f t="shared" si="0"/>
        <v/>
      </c>
    </row>
    <row r="41" spans="1:3" x14ac:dyDescent="0.25">
      <c r="A41" t="s">
        <v>107</v>
      </c>
      <c r="B41" t="s">
        <v>39</v>
      </c>
      <c r="C41" t="str">
        <f t="shared" si="0"/>
        <v/>
      </c>
    </row>
    <row r="42" spans="1:3" x14ac:dyDescent="0.25">
      <c r="A42" t="s">
        <v>76</v>
      </c>
      <c r="B42" t="s">
        <v>40</v>
      </c>
      <c r="C42" t="str">
        <f t="shared" si="0"/>
        <v/>
      </c>
    </row>
    <row r="43" spans="1:3" x14ac:dyDescent="0.25">
      <c r="A43" t="s">
        <v>108</v>
      </c>
      <c r="B43" t="s">
        <v>92</v>
      </c>
      <c r="C43" t="str">
        <f t="shared" si="0"/>
        <v>expected_C_sucrose_root</v>
      </c>
    </row>
    <row r="44" spans="1:3" x14ac:dyDescent="0.25">
      <c r="A44" t="s">
        <v>109</v>
      </c>
      <c r="B44" t="s">
        <v>41</v>
      </c>
      <c r="C44" t="str">
        <f t="shared" si="0"/>
        <v>expected_C_hexose_root</v>
      </c>
    </row>
    <row r="45" spans="1:3" x14ac:dyDescent="0.25">
      <c r="A45" t="s">
        <v>110</v>
      </c>
      <c r="B45" t="s">
        <v>87</v>
      </c>
      <c r="C45" t="str">
        <f t="shared" si="0"/>
        <v>expected_C_hexose_soil</v>
      </c>
    </row>
    <row r="46" spans="1:3" x14ac:dyDescent="0.25">
      <c r="A46" t="s">
        <v>111</v>
      </c>
      <c r="B46" t="s">
        <v>42</v>
      </c>
      <c r="C46" t="str">
        <f t="shared" si="0"/>
        <v>expected_C_hexose_reserve</v>
      </c>
    </row>
    <row r="47" spans="1:3" x14ac:dyDescent="0.25">
      <c r="A47" t="s">
        <v>65</v>
      </c>
      <c r="B47" t="s">
        <v>43</v>
      </c>
      <c r="C47" t="str">
        <f t="shared" si="0"/>
        <v/>
      </c>
    </row>
    <row r="48" spans="1:3" x14ac:dyDescent="0.25">
      <c r="A48" t="s">
        <v>77</v>
      </c>
      <c r="B48" t="s">
        <v>44</v>
      </c>
      <c r="C48" t="str">
        <f t="shared" si="0"/>
        <v/>
      </c>
    </row>
    <row r="49" spans="1:3" x14ac:dyDescent="0.25">
      <c r="A49" t="s">
        <v>112</v>
      </c>
      <c r="B49" t="s">
        <v>45</v>
      </c>
      <c r="C49" t="str">
        <f t="shared" si="0"/>
        <v>surfacic_unloading_rate_reference</v>
      </c>
    </row>
    <row r="50" spans="1:3" x14ac:dyDescent="0.25">
      <c r="A50" t="s">
        <v>113</v>
      </c>
      <c r="B50" t="s">
        <v>93</v>
      </c>
      <c r="C50" t="str">
        <f t="shared" si="0"/>
        <v>surfacic_unloading_rate_primordium</v>
      </c>
    </row>
    <row r="51" spans="1:3" x14ac:dyDescent="0.25">
      <c r="A51" t="s">
        <v>66</v>
      </c>
      <c r="B51" t="s">
        <v>46</v>
      </c>
      <c r="C51" t="str">
        <f t="shared" si="0"/>
        <v/>
      </c>
    </row>
    <row r="52" spans="1:3" x14ac:dyDescent="0.25">
      <c r="A52" t="s">
        <v>114</v>
      </c>
      <c r="B52" t="s">
        <v>47</v>
      </c>
      <c r="C52" t="str">
        <f t="shared" si="0"/>
        <v/>
      </c>
    </row>
    <row r="53" spans="1:3" x14ac:dyDescent="0.25">
      <c r="A53" t="s">
        <v>115</v>
      </c>
      <c r="B53" t="s">
        <v>48</v>
      </c>
      <c r="C53" t="str">
        <f t="shared" si="0"/>
        <v/>
      </c>
    </row>
    <row r="54" spans="1:3" x14ac:dyDescent="0.25">
      <c r="A54" t="s">
        <v>116</v>
      </c>
      <c r="B54" t="s">
        <v>49</v>
      </c>
      <c r="C54" t="str">
        <f t="shared" si="0"/>
        <v/>
      </c>
    </row>
    <row r="55" spans="1:3" x14ac:dyDescent="0.25">
      <c r="A55" t="s">
        <v>117</v>
      </c>
      <c r="B55" t="s">
        <v>50</v>
      </c>
      <c r="C55" t="str">
        <f t="shared" si="0"/>
        <v/>
      </c>
    </row>
    <row r="56" spans="1:3" x14ac:dyDescent="0.25">
      <c r="A56" t="s">
        <v>68</v>
      </c>
      <c r="B56" t="s">
        <v>90</v>
      </c>
      <c r="C56" t="str">
        <f t="shared" si="0"/>
        <v/>
      </c>
    </row>
    <row r="57" spans="1:3" x14ac:dyDescent="0.25">
      <c r="A57" t="s">
        <v>118</v>
      </c>
      <c r="B57" t="s">
        <v>51</v>
      </c>
      <c r="C57" t="str">
        <f t="shared" si="0"/>
        <v/>
      </c>
    </row>
    <row r="58" spans="1:3" x14ac:dyDescent="0.25">
      <c r="A58" t="s">
        <v>119</v>
      </c>
      <c r="B58" t="s">
        <v>52</v>
      </c>
      <c r="C58" t="str">
        <f t="shared" si="0"/>
        <v/>
      </c>
    </row>
    <row r="59" spans="1:3" x14ac:dyDescent="0.25">
      <c r="A59" t="s">
        <v>120</v>
      </c>
      <c r="B59" t="s">
        <v>53</v>
      </c>
      <c r="C59" t="str">
        <f t="shared" si="0"/>
        <v/>
      </c>
    </row>
    <row r="60" spans="1:3" x14ac:dyDescent="0.25">
      <c r="A60" t="s">
        <v>121</v>
      </c>
      <c r="B60" t="s">
        <v>54</v>
      </c>
      <c r="C60" t="str">
        <f t="shared" si="0"/>
        <v/>
      </c>
    </row>
    <row r="61" spans="1:3" x14ac:dyDescent="0.25">
      <c r="A61" t="s">
        <v>67</v>
      </c>
      <c r="B61" t="s">
        <v>55</v>
      </c>
      <c r="C61" t="str">
        <f t="shared" si="0"/>
        <v/>
      </c>
    </row>
    <row r="62" spans="1:3" x14ac:dyDescent="0.25">
      <c r="A62" t="s">
        <v>70</v>
      </c>
      <c r="B62" t="s">
        <v>99</v>
      </c>
      <c r="C62" t="str">
        <f t="shared" si="0"/>
        <v/>
      </c>
    </row>
    <row r="63" spans="1:3" x14ac:dyDescent="0.25">
      <c r="A63" t="s">
        <v>69</v>
      </c>
      <c r="B63" t="s">
        <v>100</v>
      </c>
      <c r="C63" t="str">
        <f t="shared" si="0"/>
        <v/>
      </c>
    </row>
    <row r="64" spans="1:3" x14ac:dyDescent="0.25">
      <c r="A64" t="s">
        <v>57</v>
      </c>
      <c r="B64" t="s">
        <v>101</v>
      </c>
      <c r="C64" t="str">
        <f t="shared" si="0"/>
        <v/>
      </c>
    </row>
    <row r="65" spans="1:3" x14ac:dyDescent="0.25">
      <c r="A65" t="s">
        <v>56</v>
      </c>
      <c r="B65" t="s">
        <v>102</v>
      </c>
      <c r="C65" t="str">
        <f t="shared" si="0"/>
        <v/>
      </c>
    </row>
    <row r="66" spans="1:3" x14ac:dyDescent="0.25">
      <c r="A66" t="s">
        <v>58</v>
      </c>
      <c r="B66" t="s">
        <v>103</v>
      </c>
      <c r="C66" t="str">
        <f t="shared" si="0"/>
        <v/>
      </c>
    </row>
    <row r="67" spans="1:3" x14ac:dyDescent="0.25">
      <c r="A67" t="s">
        <v>71</v>
      </c>
      <c r="B67" t="s">
        <v>82</v>
      </c>
      <c r="C67" t="str">
        <f t="shared" ref="C67:C130" si="1">IF(ISNA(VLOOKUP(A67,$B$2:$B$170,1,FALSE)),A67,"")</f>
        <v/>
      </c>
    </row>
    <row r="68" spans="1:3" x14ac:dyDescent="0.25">
      <c r="A68" t="s">
        <v>122</v>
      </c>
      <c r="B68" t="s">
        <v>83</v>
      </c>
      <c r="C68" t="str">
        <f t="shared" si="1"/>
        <v/>
      </c>
    </row>
    <row r="69" spans="1:3" x14ac:dyDescent="0.25">
      <c r="A69" t="s">
        <v>123</v>
      </c>
      <c r="B69" t="s">
        <v>84</v>
      </c>
      <c r="C69" t="str">
        <f t="shared" si="1"/>
        <v/>
      </c>
    </row>
    <row r="70" spans="1:3" x14ac:dyDescent="0.25">
      <c r="A70" t="s">
        <v>124</v>
      </c>
      <c r="B70" t="s">
        <v>85</v>
      </c>
      <c r="C70" t="str">
        <f t="shared" si="1"/>
        <v/>
      </c>
    </row>
    <row r="71" spans="1:3" x14ac:dyDescent="0.25">
      <c r="A71" t="s">
        <v>125</v>
      </c>
      <c r="B71" t="s">
        <v>60</v>
      </c>
      <c r="C71" t="str">
        <f t="shared" si="1"/>
        <v/>
      </c>
    </row>
    <row r="72" spans="1:3" x14ac:dyDescent="0.25">
      <c r="A72" t="s">
        <v>72</v>
      </c>
      <c r="B72" t="s">
        <v>94</v>
      </c>
      <c r="C72" t="str">
        <f t="shared" si="1"/>
        <v/>
      </c>
    </row>
    <row r="73" spans="1:3" x14ac:dyDescent="0.25">
      <c r="A73" t="s">
        <v>73</v>
      </c>
      <c r="B73" t="s">
        <v>59</v>
      </c>
      <c r="C73" t="str">
        <f t="shared" si="1"/>
        <v/>
      </c>
    </row>
    <row r="74" spans="1:3" x14ac:dyDescent="0.25">
      <c r="A74" t="s">
        <v>126</v>
      </c>
      <c r="B74" t="s">
        <v>61</v>
      </c>
      <c r="C74" t="str">
        <f t="shared" si="1"/>
        <v/>
      </c>
    </row>
    <row r="75" spans="1:3" x14ac:dyDescent="0.25">
      <c r="A75" t="s">
        <v>127</v>
      </c>
      <c r="B75" t="s">
        <v>62</v>
      </c>
      <c r="C75" t="str">
        <f t="shared" si="1"/>
        <v/>
      </c>
    </row>
    <row r="76" spans="1:3" x14ac:dyDescent="0.25">
      <c r="A76" t="s">
        <v>128</v>
      </c>
      <c r="B76" t="s">
        <v>63</v>
      </c>
      <c r="C76" t="str">
        <f t="shared" si="1"/>
        <v/>
      </c>
    </row>
    <row r="77" spans="1:3" x14ac:dyDescent="0.25">
      <c r="A77" t="s">
        <v>129</v>
      </c>
      <c r="B77" t="s">
        <v>64</v>
      </c>
      <c r="C77" t="str">
        <f t="shared" si="1"/>
        <v/>
      </c>
    </row>
    <row r="78" spans="1:3" x14ac:dyDescent="0.25">
      <c r="A78" t="s">
        <v>74</v>
      </c>
      <c r="B78" t="s">
        <v>65</v>
      </c>
      <c r="C78" t="str">
        <f t="shared" si="1"/>
        <v/>
      </c>
    </row>
    <row r="79" spans="1:3" x14ac:dyDescent="0.25">
      <c r="A79" t="s">
        <v>130</v>
      </c>
      <c r="B79" t="s">
        <v>66</v>
      </c>
      <c r="C79" t="str">
        <f t="shared" si="1"/>
        <v>expected_exudation_efflux</v>
      </c>
    </row>
    <row r="80" spans="1:3" x14ac:dyDescent="0.25">
      <c r="A80" t="s">
        <v>78</v>
      </c>
      <c r="B80" t="s">
        <v>114</v>
      </c>
      <c r="C80" t="str">
        <f t="shared" si="1"/>
        <v/>
      </c>
    </row>
    <row r="81" spans="1:3" x14ac:dyDescent="0.25">
      <c r="A81" t="s">
        <v>131</v>
      </c>
      <c r="B81" t="s">
        <v>115</v>
      </c>
      <c r="C81" t="str">
        <f t="shared" si="1"/>
        <v/>
      </c>
    </row>
    <row r="82" spans="1:3" x14ac:dyDescent="0.25">
      <c r="A82" t="s">
        <v>132</v>
      </c>
      <c r="B82" t="s">
        <v>116</v>
      </c>
      <c r="C82" t="str">
        <f t="shared" si="1"/>
        <v/>
      </c>
    </row>
    <row r="83" spans="1:3" x14ac:dyDescent="0.25">
      <c r="A83" t="s">
        <v>133</v>
      </c>
      <c r="B83" t="s">
        <v>117</v>
      </c>
      <c r="C83" t="str">
        <f t="shared" si="1"/>
        <v/>
      </c>
    </row>
    <row r="84" spans="1:3" x14ac:dyDescent="0.25">
      <c r="A84" t="s">
        <v>134</v>
      </c>
      <c r="B84" t="s">
        <v>67</v>
      </c>
      <c r="C84" t="str">
        <f t="shared" si="1"/>
        <v/>
      </c>
    </row>
    <row r="85" spans="1:3" x14ac:dyDescent="0.25">
      <c r="A85" t="s">
        <v>79</v>
      </c>
      <c r="B85" t="s">
        <v>68</v>
      </c>
      <c r="C85" t="str">
        <f t="shared" si="1"/>
        <v/>
      </c>
    </row>
    <row r="86" spans="1:3" x14ac:dyDescent="0.25">
      <c r="A86" t="s">
        <v>80</v>
      </c>
      <c r="B86" t="s">
        <v>118</v>
      </c>
      <c r="C86" t="str">
        <f t="shared" si="1"/>
        <v/>
      </c>
    </row>
    <row r="87" spans="1:3" x14ac:dyDescent="0.25">
      <c r="A87" t="s">
        <v>135</v>
      </c>
      <c r="B87" t="s">
        <v>119</v>
      </c>
      <c r="C87" t="str">
        <f t="shared" si="1"/>
        <v/>
      </c>
    </row>
    <row r="88" spans="1:3" x14ac:dyDescent="0.25">
      <c r="A88" t="s">
        <v>136</v>
      </c>
      <c r="B88" t="s">
        <v>120</v>
      </c>
      <c r="C88" t="str">
        <f t="shared" si="1"/>
        <v/>
      </c>
    </row>
    <row r="89" spans="1:3" x14ac:dyDescent="0.25">
      <c r="A89" t="s">
        <v>137</v>
      </c>
      <c r="B89" t="s">
        <v>121</v>
      </c>
      <c r="C89" t="str">
        <f t="shared" si="1"/>
        <v/>
      </c>
    </row>
    <row r="90" spans="1:3" x14ac:dyDescent="0.25">
      <c r="A90" t="s">
        <v>138</v>
      </c>
      <c r="B90" t="s">
        <v>69</v>
      </c>
      <c r="C90" t="str">
        <f t="shared" si="1"/>
        <v/>
      </c>
    </row>
    <row r="91" spans="1:3" x14ac:dyDescent="0.25">
      <c r="A91" t="s">
        <v>81</v>
      </c>
      <c r="B91" t="s">
        <v>70</v>
      </c>
      <c r="C91" t="str">
        <f t="shared" si="1"/>
        <v/>
      </c>
    </row>
    <row r="92" spans="1:3" x14ac:dyDescent="0.25">
      <c r="A92" t="s">
        <v>139</v>
      </c>
      <c r="B92" t="s">
        <v>56</v>
      </c>
      <c r="C92" t="str">
        <f t="shared" si="1"/>
        <v/>
      </c>
    </row>
    <row r="93" spans="1:3" x14ac:dyDescent="0.25">
      <c r="A93" t="s">
        <v>140</v>
      </c>
      <c r="B93" t="s">
        <v>57</v>
      </c>
      <c r="C93" t="str">
        <f t="shared" si="1"/>
        <v/>
      </c>
    </row>
    <row r="94" spans="1:3" x14ac:dyDescent="0.25">
      <c r="A94" t="s">
        <v>141</v>
      </c>
      <c r="B94" t="s">
        <v>58</v>
      </c>
      <c r="C94" t="str">
        <f t="shared" si="1"/>
        <v/>
      </c>
    </row>
    <row r="95" spans="1:3" x14ac:dyDescent="0.25">
      <c r="A95" t="s">
        <v>142</v>
      </c>
      <c r="B95" t="s">
        <v>71</v>
      </c>
      <c r="C95" t="str">
        <f t="shared" si="1"/>
        <v/>
      </c>
    </row>
    <row r="96" spans="1:3" x14ac:dyDescent="0.25">
      <c r="A96" t="s">
        <v>143</v>
      </c>
      <c r="B96" t="s">
        <v>122</v>
      </c>
      <c r="C96" t="str">
        <f t="shared" si="1"/>
        <v/>
      </c>
    </row>
    <row r="97" spans="1:3" x14ac:dyDescent="0.25">
      <c r="A97" t="s">
        <v>144</v>
      </c>
      <c r="B97" t="s">
        <v>123</v>
      </c>
      <c r="C97" t="str">
        <f t="shared" si="1"/>
        <v/>
      </c>
    </row>
    <row r="98" spans="1:3" x14ac:dyDescent="0.25">
      <c r="A98" t="s">
        <v>145</v>
      </c>
      <c r="B98" t="s">
        <v>124</v>
      </c>
      <c r="C98" t="str">
        <f t="shared" si="1"/>
        <v/>
      </c>
    </row>
    <row r="99" spans="1:3" x14ac:dyDescent="0.25">
      <c r="A99" t="s">
        <v>146</v>
      </c>
      <c r="B99" t="s">
        <v>125</v>
      </c>
      <c r="C99" t="str">
        <f t="shared" si="1"/>
        <v/>
      </c>
    </row>
    <row r="100" spans="1:3" x14ac:dyDescent="0.25">
      <c r="A100" t="s">
        <v>147</v>
      </c>
      <c r="B100" t="s">
        <v>72</v>
      </c>
      <c r="C100" t="str">
        <f t="shared" si="1"/>
        <v/>
      </c>
    </row>
    <row r="101" spans="1:3" x14ac:dyDescent="0.25">
      <c r="A101" t="s">
        <v>148</v>
      </c>
      <c r="B101" t="s">
        <v>73</v>
      </c>
      <c r="C101" t="str">
        <f t="shared" si="1"/>
        <v/>
      </c>
    </row>
    <row r="102" spans="1:3" x14ac:dyDescent="0.25">
      <c r="A102" t="s">
        <v>149</v>
      </c>
      <c r="B102" t="s">
        <v>126</v>
      </c>
      <c r="C102" t="str">
        <f t="shared" si="1"/>
        <v/>
      </c>
    </row>
    <row r="103" spans="1:3" x14ac:dyDescent="0.25">
      <c r="A103" t="s">
        <v>150</v>
      </c>
      <c r="B103" t="s">
        <v>127</v>
      </c>
      <c r="C103" t="str">
        <f t="shared" si="1"/>
        <v/>
      </c>
    </row>
    <row r="104" spans="1:3" x14ac:dyDescent="0.25">
      <c r="A104" t="s">
        <v>151</v>
      </c>
      <c r="B104" t="s">
        <v>128</v>
      </c>
      <c r="C104" t="str">
        <f t="shared" si="1"/>
        <v/>
      </c>
    </row>
    <row r="105" spans="1:3" x14ac:dyDescent="0.25">
      <c r="A105" t="s">
        <v>152</v>
      </c>
      <c r="B105" t="s">
        <v>129</v>
      </c>
      <c r="C105" t="str">
        <f t="shared" si="1"/>
        <v/>
      </c>
    </row>
    <row r="106" spans="1:3" x14ac:dyDescent="0.25">
      <c r="A106" t="s">
        <v>153</v>
      </c>
      <c r="B106" t="s">
        <v>74</v>
      </c>
      <c r="C106" t="str">
        <f t="shared" si="1"/>
        <v/>
      </c>
    </row>
    <row r="107" spans="1:3" x14ac:dyDescent="0.25">
      <c r="A107" t="s">
        <v>154</v>
      </c>
      <c r="B107" t="s">
        <v>75</v>
      </c>
      <c r="C107" t="str">
        <f t="shared" si="1"/>
        <v/>
      </c>
    </row>
    <row r="108" spans="1:3" x14ac:dyDescent="0.25">
      <c r="A108" t="s">
        <v>155</v>
      </c>
      <c r="B108" t="s">
        <v>104</v>
      </c>
      <c r="C108" t="str">
        <f t="shared" si="1"/>
        <v/>
      </c>
    </row>
    <row r="109" spans="1:3" x14ac:dyDescent="0.25">
      <c r="A109" t="s">
        <v>156</v>
      </c>
      <c r="B109" t="s">
        <v>105</v>
      </c>
      <c r="C109" t="str">
        <f t="shared" si="1"/>
        <v/>
      </c>
    </row>
    <row r="110" spans="1:3" x14ac:dyDescent="0.25">
      <c r="A110" t="s">
        <v>157</v>
      </c>
      <c r="B110" t="s">
        <v>106</v>
      </c>
      <c r="C110" t="str">
        <f t="shared" si="1"/>
        <v/>
      </c>
    </row>
    <row r="111" spans="1:3" x14ac:dyDescent="0.25">
      <c r="A111" t="s">
        <v>158</v>
      </c>
      <c r="B111" t="s">
        <v>107</v>
      </c>
      <c r="C111" t="str">
        <f t="shared" si="1"/>
        <v/>
      </c>
    </row>
    <row r="112" spans="1:3" x14ac:dyDescent="0.25">
      <c r="A112" t="s">
        <v>159</v>
      </c>
      <c r="B112" t="s">
        <v>76</v>
      </c>
      <c r="C112" t="str">
        <f t="shared" si="1"/>
        <v/>
      </c>
    </row>
    <row r="113" spans="1:3" x14ac:dyDescent="0.25">
      <c r="A113" t="s">
        <v>160</v>
      </c>
      <c r="B113" t="s">
        <v>77</v>
      </c>
      <c r="C113" t="str">
        <f t="shared" si="1"/>
        <v/>
      </c>
    </row>
    <row r="114" spans="1:3" x14ac:dyDescent="0.25">
      <c r="A114" t="s">
        <v>161</v>
      </c>
      <c r="B114" t="s">
        <v>78</v>
      </c>
      <c r="C114" t="str">
        <f t="shared" si="1"/>
        <v/>
      </c>
    </row>
    <row r="115" spans="1:3" x14ac:dyDescent="0.25">
      <c r="A115" t="s">
        <v>162</v>
      </c>
      <c r="B115" t="s">
        <v>131</v>
      </c>
      <c r="C115" t="str">
        <f t="shared" si="1"/>
        <v/>
      </c>
    </row>
    <row r="116" spans="1:3" x14ac:dyDescent="0.25">
      <c r="A116" t="s">
        <v>163</v>
      </c>
      <c r="B116" t="s">
        <v>132</v>
      </c>
      <c r="C116" t="str">
        <f t="shared" si="1"/>
        <v/>
      </c>
    </row>
    <row r="117" spans="1:3" x14ac:dyDescent="0.25">
      <c r="A117" t="s">
        <v>164</v>
      </c>
      <c r="B117" t="s">
        <v>133</v>
      </c>
      <c r="C117" t="str">
        <f t="shared" si="1"/>
        <v/>
      </c>
    </row>
    <row r="118" spans="1:3" x14ac:dyDescent="0.25">
      <c r="A118" t="s">
        <v>165</v>
      </c>
      <c r="B118" t="s">
        <v>134</v>
      </c>
      <c r="C118" t="str">
        <f t="shared" si="1"/>
        <v/>
      </c>
    </row>
    <row r="119" spans="1:3" x14ac:dyDescent="0.25">
      <c r="A119" t="s">
        <v>166</v>
      </c>
      <c r="B119" t="s">
        <v>79</v>
      </c>
      <c r="C119" t="str">
        <f t="shared" si="1"/>
        <v/>
      </c>
    </row>
    <row r="120" spans="1:3" x14ac:dyDescent="0.25">
      <c r="A120" t="s">
        <v>167</v>
      </c>
      <c r="B120" t="s">
        <v>80</v>
      </c>
      <c r="C120" t="str">
        <f t="shared" si="1"/>
        <v/>
      </c>
    </row>
    <row r="121" spans="1:3" x14ac:dyDescent="0.25">
      <c r="A121" t="s">
        <v>168</v>
      </c>
      <c r="B121" t="s">
        <v>135</v>
      </c>
      <c r="C121" t="str">
        <f t="shared" si="1"/>
        <v/>
      </c>
    </row>
    <row r="122" spans="1:3" x14ac:dyDescent="0.25">
      <c r="A122" t="s">
        <v>169</v>
      </c>
      <c r="B122" t="s">
        <v>136</v>
      </c>
      <c r="C122" t="str">
        <f t="shared" si="1"/>
        <v/>
      </c>
    </row>
    <row r="123" spans="1:3" x14ac:dyDescent="0.25">
      <c r="A123" t="s">
        <v>59</v>
      </c>
      <c r="B123" t="s">
        <v>137</v>
      </c>
      <c r="C123" t="str">
        <f t="shared" si="1"/>
        <v/>
      </c>
    </row>
    <row r="124" spans="1:3" x14ac:dyDescent="0.25">
      <c r="A124" t="s">
        <v>62</v>
      </c>
      <c r="B124" t="s">
        <v>138</v>
      </c>
      <c r="C124" t="str">
        <f t="shared" si="1"/>
        <v/>
      </c>
    </row>
    <row r="125" spans="1:3" x14ac:dyDescent="0.25">
      <c r="A125" t="s">
        <v>64</v>
      </c>
      <c r="B125" t="s">
        <v>81</v>
      </c>
      <c r="C125" t="str">
        <f t="shared" si="1"/>
        <v/>
      </c>
    </row>
    <row r="126" spans="1:3" x14ac:dyDescent="0.25">
      <c r="A126" t="s">
        <v>63</v>
      </c>
      <c r="B126" t="s">
        <v>139</v>
      </c>
      <c r="C126" t="str">
        <f t="shared" si="1"/>
        <v/>
      </c>
    </row>
    <row r="127" spans="1:3" x14ac:dyDescent="0.25">
      <c r="A127" t="s">
        <v>82</v>
      </c>
      <c r="B127" t="s">
        <v>140</v>
      </c>
      <c r="C127" t="str">
        <f t="shared" si="1"/>
        <v/>
      </c>
    </row>
    <row r="128" spans="1:3" x14ac:dyDescent="0.25">
      <c r="A128" t="s">
        <v>83</v>
      </c>
      <c r="B128" t="s">
        <v>141</v>
      </c>
      <c r="C128" t="str">
        <f t="shared" si="1"/>
        <v/>
      </c>
    </row>
    <row r="129" spans="1:3" x14ac:dyDescent="0.25">
      <c r="A129" t="s">
        <v>85</v>
      </c>
      <c r="B129" t="s">
        <v>142</v>
      </c>
      <c r="C129" t="str">
        <f t="shared" si="1"/>
        <v/>
      </c>
    </row>
    <row r="130" spans="1:3" x14ac:dyDescent="0.25">
      <c r="A130" t="s">
        <v>84</v>
      </c>
      <c r="B130" t="s">
        <v>143</v>
      </c>
      <c r="C130" t="str">
        <f t="shared" si="1"/>
        <v/>
      </c>
    </row>
    <row r="131" spans="1:3" x14ac:dyDescent="0.25">
      <c r="A131" t="s">
        <v>2</v>
      </c>
      <c r="B131" t="s">
        <v>144</v>
      </c>
      <c r="C131" t="str">
        <f t="shared" ref="C131:C169" si="2">IF(ISNA(VLOOKUP(A131,$B$2:$B$170,1,FALSE)),A131,"")</f>
        <v/>
      </c>
    </row>
    <row r="132" spans="1:3" x14ac:dyDescent="0.25">
      <c r="A132" t="s">
        <v>4</v>
      </c>
      <c r="B132" t="s">
        <v>145</v>
      </c>
      <c r="C132" t="str">
        <f t="shared" si="2"/>
        <v/>
      </c>
    </row>
    <row r="133" spans="1:3" x14ac:dyDescent="0.25">
      <c r="A133" t="s">
        <v>5</v>
      </c>
      <c r="B133" t="s">
        <v>146</v>
      </c>
      <c r="C133" t="str">
        <f t="shared" si="2"/>
        <v/>
      </c>
    </row>
    <row r="134" spans="1:3" x14ac:dyDescent="0.25">
      <c r="A134" t="s">
        <v>20</v>
      </c>
      <c r="B134" t="s">
        <v>147</v>
      </c>
      <c r="C134" t="str">
        <f t="shared" si="2"/>
        <v/>
      </c>
    </row>
    <row r="135" spans="1:3" x14ac:dyDescent="0.25">
      <c r="A135" t="s">
        <v>0</v>
      </c>
      <c r="B135" t="s">
        <v>148</v>
      </c>
      <c r="C135" t="str">
        <f t="shared" si="2"/>
        <v/>
      </c>
    </row>
    <row r="136" spans="1:3" x14ac:dyDescent="0.25">
      <c r="A136" t="s">
        <v>1</v>
      </c>
      <c r="B136" t="s">
        <v>149</v>
      </c>
      <c r="C136" t="str">
        <f t="shared" si="2"/>
        <v/>
      </c>
    </row>
    <row r="137" spans="1:3" x14ac:dyDescent="0.25">
      <c r="A137" t="s">
        <v>6</v>
      </c>
      <c r="B137" t="s">
        <v>150</v>
      </c>
      <c r="C137" t="str">
        <f t="shared" si="2"/>
        <v/>
      </c>
    </row>
    <row r="138" spans="1:3" x14ac:dyDescent="0.25">
      <c r="A138" t="s">
        <v>7</v>
      </c>
      <c r="B138" t="s">
        <v>151</v>
      </c>
      <c r="C138" t="str">
        <f t="shared" si="2"/>
        <v/>
      </c>
    </row>
    <row r="139" spans="1:3" x14ac:dyDescent="0.25">
      <c r="A139" t="s">
        <v>8</v>
      </c>
      <c r="B139" t="s">
        <v>152</v>
      </c>
      <c r="C139" t="str">
        <f t="shared" si="2"/>
        <v/>
      </c>
    </row>
    <row r="140" spans="1:3" x14ac:dyDescent="0.25">
      <c r="A140" t="s">
        <v>9</v>
      </c>
      <c r="B140" t="s">
        <v>153</v>
      </c>
      <c r="C140" t="str">
        <f t="shared" si="2"/>
        <v/>
      </c>
    </row>
    <row r="141" spans="1:3" x14ac:dyDescent="0.25">
      <c r="A141" t="s">
        <v>10</v>
      </c>
      <c r="B141" t="s">
        <v>154</v>
      </c>
      <c r="C141" t="str">
        <f t="shared" si="2"/>
        <v/>
      </c>
    </row>
    <row r="142" spans="1:3" x14ac:dyDescent="0.25">
      <c r="A142" t="s">
        <v>11</v>
      </c>
      <c r="B142" t="s">
        <v>155</v>
      </c>
      <c r="C142" t="str">
        <f t="shared" si="2"/>
        <v/>
      </c>
    </row>
    <row r="143" spans="1:3" x14ac:dyDescent="0.25">
      <c r="A143" t="s">
        <v>12</v>
      </c>
      <c r="B143" t="s">
        <v>156</v>
      </c>
      <c r="C143" t="str">
        <f t="shared" si="2"/>
        <v/>
      </c>
    </row>
    <row r="144" spans="1:3" x14ac:dyDescent="0.25">
      <c r="A144" t="s">
        <v>13</v>
      </c>
      <c r="B144" t="s">
        <v>157</v>
      </c>
      <c r="C144" t="str">
        <f t="shared" si="2"/>
        <v/>
      </c>
    </row>
    <row r="145" spans="1:3" x14ac:dyDescent="0.25">
      <c r="A145" t="s">
        <v>14</v>
      </c>
      <c r="B145" t="s">
        <v>158</v>
      </c>
      <c r="C145" t="str">
        <f t="shared" si="2"/>
        <v/>
      </c>
    </row>
    <row r="146" spans="1:3" x14ac:dyDescent="0.25">
      <c r="A146" t="s">
        <v>15</v>
      </c>
      <c r="B146" t="s">
        <v>159</v>
      </c>
      <c r="C146" t="str">
        <f t="shared" si="2"/>
        <v/>
      </c>
    </row>
    <row r="147" spans="1:3" x14ac:dyDescent="0.25">
      <c r="A147" t="s">
        <v>16</v>
      </c>
      <c r="B147" t="s">
        <v>160</v>
      </c>
      <c r="C147" t="str">
        <f t="shared" si="2"/>
        <v/>
      </c>
    </row>
    <row r="148" spans="1:3" x14ac:dyDescent="0.25">
      <c r="A148" t="s">
        <v>17</v>
      </c>
      <c r="B148" t="s">
        <v>161</v>
      </c>
      <c r="C148" t="str">
        <f t="shared" si="2"/>
        <v/>
      </c>
    </row>
    <row r="149" spans="1:3" x14ac:dyDescent="0.25">
      <c r="A149" t="s">
        <v>18</v>
      </c>
      <c r="B149" t="s">
        <v>162</v>
      </c>
      <c r="C149" t="str">
        <f t="shared" si="2"/>
        <v/>
      </c>
    </row>
    <row r="150" spans="1:3" x14ac:dyDescent="0.25">
      <c r="A150" t="s">
        <v>19</v>
      </c>
      <c r="B150" t="s">
        <v>163</v>
      </c>
      <c r="C150" t="str">
        <f t="shared" si="2"/>
        <v/>
      </c>
    </row>
    <row r="151" spans="1:3" x14ac:dyDescent="0.25">
      <c r="A151" t="s">
        <v>21</v>
      </c>
      <c r="B151" t="s">
        <v>164</v>
      </c>
      <c r="C151" t="str">
        <f t="shared" si="2"/>
        <v/>
      </c>
    </row>
    <row r="152" spans="1:3" x14ac:dyDescent="0.25">
      <c r="A152" t="s">
        <v>22</v>
      </c>
      <c r="B152" t="s">
        <v>165</v>
      </c>
      <c r="C152" t="str">
        <f t="shared" si="2"/>
        <v/>
      </c>
    </row>
    <row r="153" spans="1:3" x14ac:dyDescent="0.25">
      <c r="A153" t="s">
        <v>23</v>
      </c>
      <c r="B153" t="s">
        <v>166</v>
      </c>
      <c r="C153" t="str">
        <f t="shared" si="2"/>
        <v/>
      </c>
    </row>
    <row r="154" spans="1:3" x14ac:dyDescent="0.25">
      <c r="A154" t="s">
        <v>24</v>
      </c>
      <c r="B154" t="s">
        <v>167</v>
      </c>
      <c r="C154" t="str">
        <f t="shared" si="2"/>
        <v/>
      </c>
    </row>
    <row r="155" spans="1:3" x14ac:dyDescent="0.25">
      <c r="A155" t="s">
        <v>25</v>
      </c>
      <c r="B155" t="s">
        <v>168</v>
      </c>
      <c r="C155" t="str">
        <f t="shared" si="2"/>
        <v/>
      </c>
    </row>
    <row r="156" spans="1:3" x14ac:dyDescent="0.25">
      <c r="A156" t="s">
        <v>26</v>
      </c>
      <c r="B156" t="s">
        <v>169</v>
      </c>
      <c r="C156" t="str">
        <f t="shared" si="2"/>
        <v/>
      </c>
    </row>
    <row r="157" spans="1:3" x14ac:dyDescent="0.25">
      <c r="A157" t="s">
        <v>27</v>
      </c>
      <c r="B157" t="s">
        <v>173</v>
      </c>
      <c r="C157" t="str">
        <f t="shared" si="2"/>
        <v/>
      </c>
    </row>
    <row r="158" spans="1:3" x14ac:dyDescent="0.25">
      <c r="A158" t="s">
        <v>28</v>
      </c>
      <c r="C158" t="str">
        <f t="shared" si="2"/>
        <v/>
      </c>
    </row>
    <row r="159" spans="1:3" x14ac:dyDescent="0.25">
      <c r="A159" t="s">
        <v>29</v>
      </c>
      <c r="C159" t="str">
        <f t="shared" si="2"/>
        <v/>
      </c>
    </row>
    <row r="160" spans="1:3" x14ac:dyDescent="0.25">
      <c r="A160" t="s">
        <v>30</v>
      </c>
      <c r="C160" t="str">
        <f t="shared" si="2"/>
        <v/>
      </c>
    </row>
    <row r="161" spans="1:3" x14ac:dyDescent="0.25">
      <c r="A161" t="s">
        <v>31</v>
      </c>
      <c r="C161" t="str">
        <f t="shared" si="2"/>
        <v/>
      </c>
    </row>
    <row r="162" spans="1:3" x14ac:dyDescent="0.25">
      <c r="A162" t="s">
        <v>32</v>
      </c>
      <c r="C162" t="str">
        <f t="shared" si="2"/>
        <v/>
      </c>
    </row>
    <row r="163" spans="1:3" x14ac:dyDescent="0.25">
      <c r="A163" t="s">
        <v>33</v>
      </c>
      <c r="C163" t="str">
        <f t="shared" si="2"/>
        <v/>
      </c>
    </row>
    <row r="164" spans="1:3" x14ac:dyDescent="0.25">
      <c r="A164" t="s">
        <v>34</v>
      </c>
      <c r="C164" t="str">
        <f t="shared" si="2"/>
        <v/>
      </c>
    </row>
    <row r="165" spans="1:3" x14ac:dyDescent="0.25">
      <c r="A165" t="s">
        <v>35</v>
      </c>
      <c r="C165" t="str">
        <f t="shared" si="2"/>
        <v/>
      </c>
    </row>
    <row r="166" spans="1:3" x14ac:dyDescent="0.25">
      <c r="A166" t="s">
        <v>36</v>
      </c>
      <c r="C166" t="str">
        <f t="shared" si="2"/>
        <v/>
      </c>
    </row>
    <row r="167" spans="1:3" x14ac:dyDescent="0.25">
      <c r="A167" t="s">
        <v>37</v>
      </c>
      <c r="C167" t="str">
        <f t="shared" si="2"/>
        <v/>
      </c>
    </row>
    <row r="168" spans="1:3" x14ac:dyDescent="0.25">
      <c r="A168" t="s">
        <v>38</v>
      </c>
      <c r="C168" t="str">
        <f t="shared" si="2"/>
        <v/>
      </c>
    </row>
    <row r="169" spans="1:3" x14ac:dyDescent="0.25">
      <c r="A169" t="s">
        <v>173</v>
      </c>
      <c r="C169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scenarios_as_columns</vt:lpstr>
      <vt:lpstr>Comparison_with_parameters.py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Rees</dc:creator>
  <cp:lastModifiedBy>Tristan GERAULT</cp:lastModifiedBy>
  <dcterms:created xsi:type="dcterms:W3CDTF">2022-09-12T19:42:14Z</dcterms:created>
  <dcterms:modified xsi:type="dcterms:W3CDTF">2025-12-30T10:13:47Z</dcterms:modified>
</cp:coreProperties>
</file>